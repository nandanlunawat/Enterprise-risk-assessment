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dhriyamanadak/Desktop/varun beverages risk analysis/"/>
    </mc:Choice>
  </mc:AlternateContent>
  <xr:revisionPtr revIDLastSave="0" documentId="13_ncr:1_{7437D488-C777-2043-80E2-C5BF7AB29306}" xr6:coauthVersionLast="47" xr6:coauthVersionMax="47" xr10:uidLastSave="{00000000-0000-0000-0000-000000000000}"/>
  <bookViews>
    <workbookView xWindow="0" yWindow="660" windowWidth="29400" windowHeight="18460" tabRatio="500" xr2:uid="{00000000-000D-0000-FFFF-FFFF00000000}"/>
  </bookViews>
  <sheets>
    <sheet name="Dashboard" sheetId="1" r:id="rId1"/>
    <sheet name="Risk Register" sheetId="2" r:id="rId2"/>
    <sheet name="Probability-Impact Matrix" sheetId="3" r:id="rId3"/>
    <sheet name="Scenario Analysis" sheetId="4" r:id="rId4"/>
    <sheet name="Sources &amp; Assumptions" sheetId="5" r:id="rId5"/>
  </sheets>
  <definedNames>
    <definedName name="_xlnm.Print_Area" localSheetId="0">Dashboard!$B$2:$L$61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1" l="1"/>
  <c r="E24" i="4"/>
  <c r="G24" i="4" s="1"/>
  <c r="E23" i="4"/>
  <c r="G23" i="4" s="1"/>
  <c r="E22" i="4"/>
  <c r="G22" i="4" s="1"/>
  <c r="L21" i="4"/>
  <c r="H21" i="4"/>
  <c r="G21" i="4"/>
  <c r="E21" i="4"/>
  <c r="E17" i="4"/>
  <c r="M21" i="4" s="1"/>
  <c r="I43" i="1" s="1"/>
  <c r="E14" i="4"/>
  <c r="K21" i="4" s="1"/>
  <c r="H43" i="1" s="1"/>
  <c r="E13" i="4"/>
  <c r="J21" i="4" s="1"/>
  <c r="G43" i="1" s="1"/>
  <c r="E11" i="4"/>
  <c r="E9" i="4"/>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H28" i="2"/>
  <c r="E37" i="3" s="1"/>
  <c r="G28" i="2"/>
  <c r="I28" i="2" s="1"/>
  <c r="H27" i="2"/>
  <c r="E36" i="3" s="1"/>
  <c r="G27" i="2"/>
  <c r="D36" i="3" s="1"/>
  <c r="H26" i="2"/>
  <c r="E35" i="3" s="1"/>
  <c r="G26" i="2"/>
  <c r="H25" i="2"/>
  <c r="E34" i="3" s="1"/>
  <c r="G25" i="2"/>
  <c r="D34" i="3" s="1"/>
  <c r="H24" i="2"/>
  <c r="E33" i="3" s="1"/>
  <c r="G24" i="2"/>
  <c r="D33" i="3" s="1"/>
  <c r="H23" i="2"/>
  <c r="E32" i="3" s="1"/>
  <c r="G23" i="2"/>
  <c r="D32" i="3" s="1"/>
  <c r="H22" i="2"/>
  <c r="E31" i="3" s="1"/>
  <c r="G22" i="2"/>
  <c r="H21" i="2"/>
  <c r="E30" i="3" s="1"/>
  <c r="G21" i="2"/>
  <c r="D30" i="3" s="1"/>
  <c r="H20" i="2"/>
  <c r="E29" i="3" s="1"/>
  <c r="G20" i="2"/>
  <c r="H19" i="2"/>
  <c r="E28" i="3" s="1"/>
  <c r="G19" i="2"/>
  <c r="D28" i="3" s="1"/>
  <c r="H18" i="2"/>
  <c r="E27" i="3" s="1"/>
  <c r="G18" i="2"/>
  <c r="D27" i="3" s="1"/>
  <c r="H17" i="2"/>
  <c r="E26" i="3" s="1"/>
  <c r="G17" i="2"/>
  <c r="D26" i="3" s="1"/>
  <c r="H16" i="2"/>
  <c r="E25" i="3" s="1"/>
  <c r="G16" i="2"/>
  <c r="I16" i="2" s="1"/>
  <c r="H15" i="2"/>
  <c r="E24" i="3" s="1"/>
  <c r="G15" i="2"/>
  <c r="D24" i="3" s="1"/>
  <c r="H14" i="2"/>
  <c r="E23" i="3" s="1"/>
  <c r="G14" i="2"/>
  <c r="I14" i="2" s="1"/>
  <c r="H13" i="2"/>
  <c r="E22" i="3" s="1"/>
  <c r="G13" i="2"/>
  <c r="D22" i="3" s="1"/>
  <c r="H12" i="2"/>
  <c r="E21" i="3" s="1"/>
  <c r="G12" i="2"/>
  <c r="D21" i="3" s="1"/>
  <c r="H11" i="2"/>
  <c r="E20" i="3" s="1"/>
  <c r="G11" i="2"/>
  <c r="D20" i="3" s="1"/>
  <c r="H10" i="2"/>
  <c r="E19" i="3" s="1"/>
  <c r="G10" i="2"/>
  <c r="H9" i="2"/>
  <c r="E18" i="3" s="1"/>
  <c r="G9" i="2"/>
  <c r="D18" i="3" s="1"/>
  <c r="H8" i="2"/>
  <c r="E17" i="3" s="1"/>
  <c r="G8" i="2"/>
  <c r="I8" i="2" s="1"/>
  <c r="H7" i="2"/>
  <c r="E16" i="3" s="1"/>
  <c r="G7" i="2"/>
  <c r="D16" i="3" s="1"/>
  <c r="H6" i="2"/>
  <c r="E15" i="3" s="1"/>
  <c r="G6" i="2"/>
  <c r="D15" i="3" s="1"/>
  <c r="H5" i="2"/>
  <c r="E14" i="3" s="1"/>
  <c r="G5" i="2"/>
  <c r="D14" i="3" s="1"/>
  <c r="D46" i="1"/>
  <c r="C46" i="1"/>
  <c r="D45" i="1"/>
  <c r="C45" i="1"/>
  <c r="D44" i="1"/>
  <c r="C44" i="1"/>
  <c r="K43" i="1"/>
  <c r="E43" i="1"/>
  <c r="D43" i="1"/>
  <c r="C43" i="1"/>
  <c r="J39" i="1"/>
  <c r="F39" i="1"/>
  <c r="C39" i="1"/>
  <c r="J38" i="1"/>
  <c r="G38" i="1"/>
  <c r="F38" i="1"/>
  <c r="C38" i="1"/>
  <c r="J37" i="1"/>
  <c r="C37" i="1"/>
  <c r="J36" i="1"/>
  <c r="C36" i="1"/>
  <c r="J35" i="1"/>
  <c r="F35" i="1"/>
  <c r="C35" i="1"/>
  <c r="L31" i="1"/>
  <c r="K31" i="1"/>
  <c r="J31" i="1"/>
  <c r="I31" i="1"/>
  <c r="H31" i="1"/>
  <c r="G31" i="1"/>
  <c r="L30" i="1"/>
  <c r="K30" i="1"/>
  <c r="J30" i="1"/>
  <c r="I30" i="1"/>
  <c r="H30" i="1"/>
  <c r="G30" i="1"/>
  <c r="L29" i="1"/>
  <c r="K29" i="1"/>
  <c r="J29" i="1"/>
  <c r="I29" i="1"/>
  <c r="H29" i="1"/>
  <c r="G29" i="1"/>
  <c r="L28" i="1"/>
  <c r="K28" i="1"/>
  <c r="J28" i="1"/>
  <c r="I28" i="1"/>
  <c r="H28" i="1"/>
  <c r="G28" i="1"/>
  <c r="L27" i="1"/>
  <c r="K27" i="1"/>
  <c r="J27" i="1"/>
  <c r="I27" i="1"/>
  <c r="H27" i="1"/>
  <c r="G27" i="1"/>
  <c r="L26" i="1"/>
  <c r="K26" i="1"/>
  <c r="J26" i="1"/>
  <c r="I26" i="1"/>
  <c r="H26" i="1"/>
  <c r="G26" i="1"/>
  <c r="H6" i="1"/>
  <c r="G37" i="1" l="1"/>
  <c r="I10" i="2"/>
  <c r="I20" i="2"/>
  <c r="I26" i="2"/>
  <c r="I22" i="2"/>
  <c r="J22" i="2" s="1"/>
  <c r="G31" i="3" s="1"/>
  <c r="G36" i="1"/>
  <c r="F36" i="1"/>
  <c r="G35" i="1"/>
  <c r="G39" i="1"/>
  <c r="F37" i="1"/>
  <c r="J8" i="2"/>
  <c r="F17" i="3"/>
  <c r="H38" i="1"/>
  <c r="J26" i="2"/>
  <c r="G35" i="3" s="1"/>
  <c r="F35" i="3"/>
  <c r="E44" i="1"/>
  <c r="J22" i="4"/>
  <c r="J14" i="2"/>
  <c r="F23" i="3"/>
  <c r="J10" i="2"/>
  <c r="G19" i="3" s="1"/>
  <c r="F19" i="3"/>
  <c r="J16" i="2"/>
  <c r="G25" i="3" s="1"/>
  <c r="F25" i="3"/>
  <c r="J28" i="2"/>
  <c r="G37" i="3" s="1"/>
  <c r="F37" i="3"/>
  <c r="J23" i="4"/>
  <c r="E45" i="1"/>
  <c r="H39" i="1"/>
  <c r="J20" i="2"/>
  <c r="F29" i="3"/>
  <c r="J24" i="4"/>
  <c r="E46" i="1"/>
  <c r="I6" i="2"/>
  <c r="I9" i="2"/>
  <c r="I12" i="2"/>
  <c r="I15" i="2"/>
  <c r="I18" i="2"/>
  <c r="I21" i="2"/>
  <c r="I24" i="2"/>
  <c r="I27" i="2"/>
  <c r="D17" i="3"/>
  <c r="D19" i="3"/>
  <c r="D23" i="3"/>
  <c r="D25" i="3"/>
  <c r="D29" i="3"/>
  <c r="D31" i="3"/>
  <c r="D35" i="3"/>
  <c r="D37" i="3"/>
  <c r="I7" i="2"/>
  <c r="I13" i="2"/>
  <c r="I19" i="2"/>
  <c r="C78" i="1" s="1"/>
  <c r="I25" i="2"/>
  <c r="I5" i="2"/>
  <c r="I11" i="2"/>
  <c r="C77" i="1" s="1"/>
  <c r="I17" i="2"/>
  <c r="I23" i="2"/>
  <c r="F31" i="3" l="1"/>
  <c r="I39" i="1"/>
  <c r="G29" i="3"/>
  <c r="F34" i="3"/>
  <c r="J25" i="2"/>
  <c r="G34" i="3" s="1"/>
  <c r="F36" i="3"/>
  <c r="J27" i="2"/>
  <c r="G36" i="3" s="1"/>
  <c r="G23" i="3"/>
  <c r="F22" i="3"/>
  <c r="J13" i="2"/>
  <c r="G22" i="3" s="1"/>
  <c r="F30" i="3"/>
  <c r="J21" i="2"/>
  <c r="G30" i="3" s="1"/>
  <c r="M23" i="4"/>
  <c r="K23" i="4"/>
  <c r="H45" i="1" s="1"/>
  <c r="G45" i="1"/>
  <c r="M22" i="4"/>
  <c r="K22" i="4"/>
  <c r="H44" i="1" s="1"/>
  <c r="G44" i="1"/>
  <c r="F16" i="3"/>
  <c r="J7" i="2"/>
  <c r="C79" i="1"/>
  <c r="H37" i="1"/>
  <c r="F27" i="3"/>
  <c r="J18" i="2"/>
  <c r="G27" i="3" s="1"/>
  <c r="F24" i="3"/>
  <c r="J15" i="2"/>
  <c r="G24" i="3" s="1"/>
  <c r="F21" i="3"/>
  <c r="J12" i="2"/>
  <c r="G21" i="3" s="1"/>
  <c r="F32" i="3"/>
  <c r="J23" i="2"/>
  <c r="G32" i="3" s="1"/>
  <c r="F20" i="3"/>
  <c r="J11" i="2"/>
  <c r="G20" i="3" s="1"/>
  <c r="F14" i="3"/>
  <c r="H35" i="1"/>
  <c r="J5" i="2"/>
  <c r="C81" i="1"/>
  <c r="F28" i="3"/>
  <c r="J19" i="2"/>
  <c r="G28" i="3" s="1"/>
  <c r="F33" i="3"/>
  <c r="J24" i="2"/>
  <c r="G33" i="3" s="1"/>
  <c r="F18" i="3"/>
  <c r="J9" i="2"/>
  <c r="G18" i="3" s="1"/>
  <c r="F15" i="3"/>
  <c r="C80" i="1"/>
  <c r="H36" i="1"/>
  <c r="J6" i="2"/>
  <c r="F26" i="3"/>
  <c r="J17" i="2"/>
  <c r="G26" i="3" s="1"/>
  <c r="M24" i="4"/>
  <c r="K24" i="4"/>
  <c r="H46" i="1" s="1"/>
  <c r="G46" i="1"/>
  <c r="F70" i="1"/>
  <c r="E70" i="1"/>
  <c r="D70" i="1"/>
  <c r="G17" i="3"/>
  <c r="I38" i="1"/>
  <c r="C71" i="1" l="1"/>
  <c r="D71" i="1"/>
  <c r="E71" i="1"/>
  <c r="F6" i="1"/>
  <c r="G16" i="3"/>
  <c r="I37" i="1"/>
  <c r="F72" i="1"/>
  <c r="E72" i="1"/>
  <c r="D72" i="1"/>
  <c r="C72" i="1"/>
  <c r="F71" i="1"/>
  <c r="C70" i="1"/>
  <c r="N24" i="4"/>
  <c r="I46" i="1"/>
  <c r="N22" i="4"/>
  <c r="K44" i="1" s="1"/>
  <c r="I44" i="1"/>
  <c r="N23" i="4"/>
  <c r="K45" i="1" s="1"/>
  <c r="I45" i="1"/>
  <c r="G14" i="3"/>
  <c r="E74" i="1"/>
  <c r="D6" i="1"/>
  <c r="D74" i="1"/>
  <c r="C74" i="1"/>
  <c r="I35" i="1"/>
  <c r="C67" i="1"/>
  <c r="C66" i="1"/>
  <c r="C65" i="1"/>
  <c r="C64" i="1"/>
  <c r="F74" i="1"/>
  <c r="F73" i="1"/>
  <c r="E73" i="1"/>
  <c r="D73" i="1"/>
  <c r="G15" i="3"/>
  <c r="C73" i="1"/>
  <c r="I36" i="1"/>
  <c r="J6" i="1" l="1"/>
  <c r="K46" i="1"/>
</calcChain>
</file>

<file path=xl/sharedStrings.xml><?xml version="1.0" encoding="utf-8"?>
<sst xmlns="http://schemas.openxmlformats.org/spreadsheetml/2006/main" count="633" uniqueCount="435">
  <si>
    <t>VARUN BEVERAGES LIMITED  —  ENTERPRISE RISK DASHBOARD</t>
  </si>
  <si>
    <t>RISKS ASSESSED</t>
  </si>
  <si>
    <t>CRITICAL</t>
  </si>
  <si>
    <t>HIGH</t>
  </si>
  <si>
    <t>HEADLINE RISKS</t>
  </si>
  <si>
    <t>SEVERE CASE PAT</t>
  </si>
  <si>
    <t>across five risk categories</t>
  </si>
  <si>
    <t>risk score 16 to 25</t>
  </si>
  <si>
    <t>risk score 10 to 15</t>
  </si>
  <si>
    <t>carried into report and PPT</t>
  </si>
  <si>
    <t>change against CY2025 actual</t>
  </si>
  <si>
    <t>CATEGORY EXPOSURE  —  number of risks by rating</t>
  </si>
  <si>
    <t>TOTAL RISK SCORE BY CATEGORY</t>
  </si>
  <si>
    <t>Rank</t>
  </si>
  <si>
    <t>Risk</t>
  </si>
  <si>
    <t>Impact</t>
  </si>
  <si>
    <t>Score</t>
  </si>
  <si>
    <t>Rating</t>
  </si>
  <si>
    <t>Recommended action</t>
  </si>
  <si>
    <t>1</t>
  </si>
  <si>
    <t>2</t>
  </si>
  <si>
    <t>3</t>
  </si>
  <si>
    <t>4</t>
  </si>
  <si>
    <t>5</t>
  </si>
  <si>
    <t>Scenario</t>
  </si>
  <si>
    <t>Probability</t>
  </si>
  <si>
    <t>Volume
(mn cases)</t>
  </si>
  <si>
    <t>Net revenue
(Rs mn)</t>
  </si>
  <si>
    <t>EBITDA
(Rs mn)</t>
  </si>
  <si>
    <t>EBITDA
margin</t>
  </si>
  <si>
    <t>PAT
(Rs mn)</t>
  </si>
  <si>
    <t>PAT vs CY2025</t>
  </si>
  <si>
    <t>CY2025 Actual</t>
  </si>
  <si>
    <t>Base</t>
  </si>
  <si>
    <t>Adverse</t>
  </si>
  <si>
    <t>Severe</t>
  </si>
  <si>
    <t>KEY RISK INDICATORS  —  a status colour is shown only where a defensible threshold exists</t>
  </si>
  <si>
    <t>Key risk indicator</t>
  </si>
  <si>
    <t>Current value</t>
  </si>
  <si>
    <t>Status</t>
  </si>
  <si>
    <t>Trigger (team threshold)</t>
  </si>
  <si>
    <t>R01</t>
  </si>
  <si>
    <t>India volume growth, year on year</t>
  </si>
  <si>
    <t>+2.2%  (CY2025)</t>
  </si>
  <si>
    <t>AMBER</t>
  </si>
  <si>
    <t>Below +5% for a full calendar year</t>
  </si>
  <si>
    <t>R03</t>
  </si>
  <si>
    <t>India net realisation per case, year on year</t>
  </si>
  <si>
    <t>-1.5%  (Q1 CY2026)</t>
  </si>
  <si>
    <t>RED</t>
  </si>
  <si>
    <t>Two consecutive quarters of decline</t>
  </si>
  <si>
    <t>R02</t>
  </si>
  <si>
    <t>Share of volume in the 40% GST categories</t>
  </si>
  <si>
    <t>73.9%  (CY2025)</t>
  </si>
  <si>
    <t>Above 75%</t>
  </si>
  <si>
    <t>R04</t>
  </si>
  <si>
    <t>Consolidated EBITDA margin</t>
  </si>
  <si>
    <t>23.3%  (CY2025)</t>
  </si>
  <si>
    <t>Below 22.0%</t>
  </si>
  <si>
    <t>R05</t>
  </si>
  <si>
    <t>Material cost intensity, % of net revenue</t>
  </si>
  <si>
    <t>44.8%  (CY2025)</t>
  </si>
  <si>
    <t>GREEN</t>
  </si>
  <si>
    <t>Above 48%</t>
  </si>
  <si>
    <t>R11</t>
  </si>
  <si>
    <t>Debtor days</t>
  </si>
  <si>
    <t>18 days  (CY2025)</t>
  </si>
  <si>
    <t>Above 25 days</t>
  </si>
  <si>
    <t>Ranking follows the risk score.  PepsiCo franchise concentration is headline risk 5 through a documented strategic override:  it scores low on probability because the India licence runs to 30 April 2039, but it is the only non-substitutable exposure in the register.  Input-cost inflation is the highest-scoring risk outside the five.  Scoring bands are team analytical thresholds; VBL discloses no risk appetite.  The stress test is illustrative and is not a forecast.</t>
  </si>
  <si>
    <t>Low</t>
  </si>
  <si>
    <t>Medium</t>
  </si>
  <si>
    <t>High</t>
  </si>
  <si>
    <t>Critical</t>
  </si>
  <si>
    <t>Category</t>
  </si>
  <si>
    <t>Strategic &amp; International</t>
  </si>
  <si>
    <t>Operations &amp; Supply Chain</t>
  </si>
  <si>
    <t>Financial &amp; Market</t>
  </si>
  <si>
    <t>Regulatory &amp; Compliance</t>
  </si>
  <si>
    <t>Climate &amp; Environment</t>
  </si>
  <si>
    <t>Total risk score</t>
  </si>
  <si>
    <t>Risk ID</t>
  </si>
  <si>
    <t>Risk Category</t>
  </si>
  <si>
    <t>Type</t>
  </si>
  <si>
    <t>Probability
Score</t>
  </si>
  <si>
    <t>Impact
Score</t>
  </si>
  <si>
    <t>Risk
Score</t>
  </si>
  <si>
    <t>Risk
Rating</t>
  </si>
  <si>
    <t>Headline
Risk</t>
  </si>
  <si>
    <t>Key Cause</t>
  </si>
  <si>
    <t>Existing Control (VBL)</t>
  </si>
  <si>
    <t>Response Action (team)</t>
  </si>
  <si>
    <t>Peak-season weather variability in India</t>
  </si>
  <si>
    <t>External</t>
  </si>
  <si>
    <t>Major</t>
  </si>
  <si>
    <t>Unseasonal and early monsoon rain in the April-June quarter, when most annual volume is sold.</t>
  </si>
  <si>
    <t>Spread across 10 franchise countries; CSD, NCB and water portfolio; cold-chain and visi-cooler reach.</t>
  </si>
  <si>
    <t>Reduce: season-contingent production and inventory plan; track the IMD seasonal outlook as a board KRI.</t>
  </si>
  <si>
    <t>Demerit fiscal treatment of carbonated drinks</t>
  </si>
  <si>
    <t>Moderate</t>
  </si>
  <si>
    <t>CSD and caffeinated drinks sit in the 40% GST slab from 22 Sep 2025, previously 28% plus 12% cess.</t>
  </si>
  <si>
    <t>Mix shift into water and juice, which moved to 5% GST; engagement with government alongside PepsiCo.</t>
  </si>
  <si>
    <t>Reduce: accelerate the shift into lower-taxed categories; model a further rate step before pricing rounds.</t>
  </si>
  <si>
    <t>Competitive intensity and price disruption in India</t>
  </si>
  <si>
    <t>A well-funded entrant at aggressive price points and a recapitalised competing bottling system.</t>
  </si>
  <si>
    <t>Distribution depth and visi-cooler placement; pack-price architecture; PepsiCo brand support.</t>
  </si>
  <si>
    <t>Reduce: defend through pack-price architecture and outlet coverage; review realisation monthly.</t>
  </si>
  <si>
    <t>Acquisition integration - Twizza and Bevco</t>
  </si>
  <si>
    <t>Internal</t>
  </si>
  <si>
    <t>Twizza bought for ZAR 2,095 mn EV and consolidated during CY2026 at a lower margin than the group.</t>
  </si>
  <si>
    <t>Board acquisition guidelines; dedicated integration effort for newly acquired territories.</t>
  </si>
  <si>
    <t>Reduce: 100-day integration plan with margin and working-capital milestones reported to the Board.</t>
  </si>
  <si>
    <t>Input-cost inflation in sugar, aluminium and PET</t>
  </si>
  <si>
    <t>Materials were Rs 97,154 mn, 44.8% of CY2025 net revenue, across policy-driven commodity markets.</t>
  </si>
  <si>
    <t>Backward integration into preforms, crowns, closures and boxes; consolidated sourcing; scale buying.</t>
  </si>
  <si>
    <t>Retain: controls are holding gross margin; monitor material cost intensity monthly.</t>
  </si>
  <si>
    <t>R06</t>
  </si>
  <si>
    <t>Utilisation of the four new India greenfield plants</t>
  </si>
  <si>
    <t>Rs 17,000 mn spent on four greenfields while India volume grew only 2.2% in CY2025.</t>
  </si>
  <si>
    <t>Contiguous-territory strategy; capex funded from operating cash flow rather than debt.</t>
  </si>
  <si>
    <t>Reduce: report plant-level utilisation against plan before sanctioning further India greenfields.</t>
  </si>
  <si>
    <t>R07</t>
  </si>
  <si>
    <t>Currency translation exposure on international earnings</t>
  </si>
  <si>
    <t>Minor</t>
  </si>
  <si>
    <t>36.4% of CY2025 contract revenue is earned outside India in African and South Asian currencies.</t>
  </si>
  <si>
    <t>Local-currency operating model with local sourcing; natural hedge of revenue against local cost.</t>
  </si>
  <si>
    <t>Retain: accept translation exposure as the cost of diversification; hedge identified transactions only.</t>
  </si>
  <si>
    <t>R08</t>
  </si>
  <si>
    <t>New-territory entry and non-PepsiCo lines</t>
  </si>
  <si>
    <t>Kenya subsidiary, Carlsberg distribution and PepsiCo snacks in Zimbabwe and Zambia started recently.</t>
  </si>
  <si>
    <t>Staged entry using existing distribution; Board acquisition guidelines applied to each new line.</t>
  </si>
  <si>
    <t>Reduce: set a margin gate for each new line before committing further capital.</t>
  </si>
  <si>
    <t>R09</t>
  </si>
  <si>
    <t>Country and political risk in African territories</t>
  </si>
  <si>
    <t>Operations across territories with variable power, water and security conditions.</t>
  </si>
  <si>
    <t>Spread across 10 franchise countries so no single territory dominates; local management teams.</t>
  </si>
  <si>
    <t>Retain: monitor territory performance quarterly; no single-country concentration above plan.</t>
  </si>
  <si>
    <t>R10</t>
  </si>
  <si>
    <t>Raw material and packaging supply interruption</t>
  </si>
  <si>
    <t>Concentrated supply of concentrate, resin, closures and aluminium into a seasonal production peak.</t>
  </si>
  <si>
    <t>Backward integration for preforms, crowns, closures and corrugated boxes; alternative sources developed.</t>
  </si>
  <si>
    <t>Reduce: hold pre-season safety stock of critical inputs and qualify a second source for each.</t>
  </si>
  <si>
    <t>Receivables and working-capital stretch</t>
  </si>
  <si>
    <t>Debtor days rose from 11 to 18 in CY2025 on a higher modern-trade mix in South Africa.</t>
  </si>
  <si>
    <t>Credit assessment of distributors; provisioning discipline; scale-based supplier terms.</t>
  </si>
  <si>
    <t>Reduce: tighten modern-trade credit terms and report debtor days monthly.</t>
  </si>
  <si>
    <t>R12</t>
  </si>
  <si>
    <t>Capital allocation discipline</t>
  </si>
  <si>
    <t>About Rs 45,000 mn capitalised in CY2025 alongside acquisitions in a single year.</t>
  </si>
  <si>
    <t>Board-approved acquisition guidelines; internal funding; India business remains net debt-free.</t>
  </si>
  <si>
    <t>Reduce: apply a return hurdle and post-completion review to every project above a set size.</t>
  </si>
  <si>
    <t>R13</t>
  </si>
  <si>
    <t>Health labelling and consumer-health regulation</t>
  </si>
  <si>
    <t>Front-of-pack nutrition labelling for high sugar products is under development in India.</t>
  </si>
  <si>
    <t>PepsiCo zero-sugar and low-calorie portfolio; continuous review of consumer habits with PepsiCo.</t>
  </si>
  <si>
    <t>Reduce: prepare labelling-compliant artwork and reformulation ahead of notification.</t>
  </si>
  <si>
    <t>R14</t>
  </si>
  <si>
    <t>Packaging EPR and recycled-content cost</t>
  </si>
  <si>
    <t>A rising statutory recycled-content obligation for rigid plastic and food-contact PET.</t>
  </si>
  <si>
    <t>GEM Enviro collection and recycling partnership; stated 30% rPET target in total plastic use.</t>
  </si>
  <si>
    <t>Reduce: contract multi-year food-grade rPET supply ahead of each step-up in the mandate.</t>
  </si>
  <si>
    <t>R15</t>
  </si>
  <si>
    <t>Labour cost and industrial relations</t>
  </si>
  <si>
    <t>Over 16,300 employees and the notification of India's four Labour Codes.</t>
  </si>
  <si>
    <t>Recruitment, appraisal, training and welfare policies; second-level cover in each department.</t>
  </si>
  <si>
    <t>Retain: the cost is recurring and already absorbed in the CY2025 base.</t>
  </si>
  <si>
    <t>R16</t>
  </si>
  <si>
    <t>PepsiCo franchise concentration and renewal terms</t>
  </si>
  <si>
    <t>Very Low</t>
  </si>
  <si>
    <t>The entire India portfolio is licensed from PepsiCo and VBL is over 90% of PepsiCo's India volumes.</t>
  </si>
  <si>
    <t>India licence extended to 30 April 2039; mutual dependence; joint investment and business planning.</t>
  </si>
  <si>
    <t>Retain and reduce: retain as strategically necessary; widen non-PepsiCo lines at the margin.</t>
  </si>
  <si>
    <t>R17</t>
  </si>
  <si>
    <t>Product safety and recall</t>
  </si>
  <si>
    <t>50 plants across 14 countries producing beverages for direct human consumption.</t>
  </si>
  <si>
    <t>PepsiCo global quality standards and audits; food safety management systems and certification.</t>
  </si>
  <si>
    <t>Reduce and transfer: maintain the audit regime and carry product-liability cover.</t>
  </si>
  <si>
    <t>R18</t>
  </si>
  <si>
    <t>Consumer preference shift away from sugar CSDs</t>
  </si>
  <si>
    <t>Rising health awareness against a portfolio that is 73.9% carbonated by volume.</t>
  </si>
  <si>
    <t>PepsiCo zero-sugar and low-calorie range; NCB and packaged water expansion.</t>
  </si>
  <si>
    <t>Reduce: continue reformulation and NCB expansion so the shift is led rather than followed.</t>
  </si>
  <si>
    <t>R19</t>
  </si>
  <si>
    <t>Water availability and groundwater regulation</t>
  </si>
  <si>
    <t>Water-intensive manufacturing with Indian plants in over-exploited and critical CGWA blocks.</t>
  </si>
  <si>
    <t>Over 300 water bodies adopted and 150+ water-efficiency improvements; rainwater harvesting.</t>
  </si>
  <si>
    <t>Reduce: hold replenishment above abstraction and maintain valid consents at every site.</t>
  </si>
  <si>
    <t>R20</t>
  </si>
  <si>
    <t>Carbon, energy and emissions regulation</t>
  </si>
  <si>
    <t>Energy-intensive cooling and logistics against a stated net-zero-by-2050 target from a 2023 base.</t>
  </si>
  <si>
    <t>Solar installations across territories; energy-efficiency programmes; lighter packaging grammage.</t>
  </si>
  <si>
    <t>Reduce: hold the renewable and efficiency programme to its schedule and report progress annually.</t>
  </si>
  <si>
    <t>R21</t>
  </si>
  <si>
    <t>Distribution and route-to-market execution</t>
  </si>
  <si>
    <t>Contracted logistics and a distributor-led route to market across urban, semi-urban and rural India.</t>
  </si>
  <si>
    <t>Owned cold-chain and visi-cooler network; distributor consolidation; logistics policy measures.</t>
  </si>
  <si>
    <t>Reduce: tighten peak-season distributor stocking norms and monitor fill rates.</t>
  </si>
  <si>
    <t>R22</t>
  </si>
  <si>
    <t>Cold-chain and visi-cooler reliability</t>
  </si>
  <si>
    <t>Chilled availability depends on visi-coolers and power reliability in under-penetrated markets.</t>
  </si>
  <si>
    <t>Continued visi-cooler deployment; White Peak refrigeration joint venture for in-house manufacture.</t>
  </si>
  <si>
    <t>Reduce: prioritise servicing and replacement in high-throughput outlets before each season.</t>
  </si>
  <si>
    <t>R23</t>
  </si>
  <si>
    <t>IT and cyber security</t>
  </si>
  <si>
    <t>Digitised production scheduling, sales and distribution systems across 14 countries.</t>
  </si>
  <si>
    <t>Access control, multi-factor authentication, firewalls, threat detection, backups and awareness training.</t>
  </si>
  <si>
    <t>Reduce: maintain the control set and test recovery through periodic drills.</t>
  </si>
  <si>
    <t>R24</t>
  </si>
  <si>
    <t>Funding, interest rate and liquidity</t>
  </si>
  <si>
    <t>Capex and acquisition funding alongside pronounced seasonal working-capital swings.</t>
  </si>
  <si>
    <t>India net debt-free with free cash of ~Rs 12,250 mn; consolidated net debt ~Rs 256 mn; CRISIL AAA.</t>
  </si>
  <si>
    <t>Retain: exposure is immaterial relative to current cash generation.</t>
  </si>
  <si>
    <t>Chance of occurring within 12 to 24 months</t>
  </si>
  <si>
    <t>Less than 10%</t>
  </si>
  <si>
    <t>10% to 29%</t>
  </si>
  <si>
    <t>30% to 49%</t>
  </si>
  <si>
    <t>50% to 69%</t>
  </si>
  <si>
    <t>Very High</t>
  </si>
  <si>
    <t>More than 70%</t>
  </si>
  <si>
    <t>Adverse effect on annual EBITDA</t>
  </si>
  <si>
    <t>Insignificant</t>
  </si>
  <si>
    <t>Below Rs 250 mn  (under 0.5% of EBITDA)</t>
  </si>
  <si>
    <t>Rs 250 to 1,000 mn  (0.5% to 2%)</t>
  </si>
  <si>
    <t>Rs 1,000 to 2,500 mn  (2% to 5%)</t>
  </si>
  <si>
    <t>Rs 2,500 to 5,000 mn  (5% to 10%)</t>
  </si>
  <si>
    <t>Above Rs 5,000 mn  (over 10%)</t>
  </si>
  <si>
    <t>Min Score</t>
  </si>
  <si>
    <t>Risk Rating</t>
  </si>
  <si>
    <t>Score Range</t>
  </si>
  <si>
    <t>1 to 4</t>
  </si>
  <si>
    <t>5 to 9</t>
  </si>
  <si>
    <t>10 to 15</t>
  </si>
  <si>
    <t>16 to 25</t>
  </si>
  <si>
    <t>Headline risk column.  Ranks 1 to 4 follow the risk score.  PepsiCo franchise concentration is carried in as headline risk 5 through a documented strategic override: it scores low on probability because the India licence runs to 30 April 2039, but it is the only exposure in the register that is non-substitutable, and an arithmetic ranking understates that.  Input-cost inflation is the highest-scoring risk outside the headline five.</t>
  </si>
  <si>
    <t>PROBABILITY - IMPACT MATRIX  —  ALL 24 RISKS</t>
  </si>
  <si>
    <t>Cell shading follows the rating bands on the Risk Register.  * marks a headline risk.</t>
  </si>
  <si>
    <t>IMPACT  \  PROBABILITY</t>
  </si>
  <si>
    <t>1
Very Low
&lt;10%</t>
  </si>
  <si>
    <t>2
Low
10-29%</t>
  </si>
  <si>
    <t>3
Medium
30-49%</t>
  </si>
  <si>
    <t>4
High
50-69%</t>
  </si>
  <si>
    <t>5
Very High
&gt;70%</t>
  </si>
  <si>
    <t>5 - Severe</t>
  </si>
  <si>
    <t>R16*
5</t>
  </si>
  <si>
    <t>10</t>
  </si>
  <si>
    <t>15</t>
  </si>
  <si>
    <t>20</t>
  </si>
  <si>
    <t>25</t>
  </si>
  <si>
    <t>4 - Major</t>
  </si>
  <si>
    <t>R17
4</t>
  </si>
  <si>
    <t>8</t>
  </si>
  <si>
    <t>12</t>
  </si>
  <si>
    <t>R01*
16</t>
  </si>
  <si>
    <t>3 - Moderate</t>
  </si>
  <si>
    <t>R10  R12
6</t>
  </si>
  <si>
    <t>R05  R06
9</t>
  </si>
  <si>
    <t>R02*  R03*  R04*
12</t>
  </si>
  <si>
    <t>2 - Minor</t>
  </si>
  <si>
    <t>R24
2</t>
  </si>
  <si>
    <t>R18  R19  R20  R21  R22  R23
4</t>
  </si>
  <si>
    <t>R08  R09  R11  R13  R14  R15
6</t>
  </si>
  <si>
    <t>R07
8</t>
  </si>
  <si>
    <t>1 - Insignificant</t>
  </si>
  <si>
    <t>LEGEND  —  linked to the Risk Register</t>
  </si>
  <si>
    <t>Risk Score</t>
  </si>
  <si>
    <t>ILLUSTRATIVE STRESS TEST  —  BASED ON TEAM ASSUMPTIONS</t>
  </si>
  <si>
    <t>1.  CY2025 AUDITED BASE ACTUALS</t>
  </si>
  <si>
    <t>Line</t>
  </si>
  <si>
    <t>Value</t>
  </si>
  <si>
    <t>Source</t>
  </si>
  <si>
    <t>Total sales volume (mn cases)</t>
  </si>
  <si>
    <t>AR CY2025 MD&amp;A:  India 839 + international 374</t>
  </si>
  <si>
    <t>Net revenue (Rs mn)</t>
  </si>
  <si>
    <t>AR CY2025 MD&amp;A:  revenue from operations less excise duty</t>
  </si>
  <si>
    <t>Net realisation per case (Rs)</t>
  </si>
  <si>
    <t>Calculated.  AR states Rs 178.8</t>
  </si>
  <si>
    <t>Materials consumed (Rs mn)</t>
  </si>
  <si>
    <t>AR CY2025 P&amp;L:  93,370.62 + 3,694.53 + 89.14</t>
  </si>
  <si>
    <t>Gross margin %</t>
  </si>
  <si>
    <t>Calculated.  AR states 55.2%</t>
  </si>
  <si>
    <t>Employee and other operating cost (Rs mn)</t>
  </si>
  <si>
    <t>AR CY2025 P&amp;L:  22,007.43 + 47,198.38</t>
  </si>
  <si>
    <t>EBITDA (Rs mn)</t>
  </si>
  <si>
    <t>Calculated.  AR states Rs 50,493.69 mn</t>
  </si>
  <si>
    <t>EBITDA margin %</t>
  </si>
  <si>
    <t>Calculated.  AR states 23.3%</t>
  </si>
  <si>
    <t>Non-EBITDA items, net (Rs mn)</t>
  </si>
  <si>
    <t>D&amp;A 12,164.63 + finance 1,695.79 - other income 3,523.48 + share of loss 60.27</t>
  </si>
  <si>
    <t>Effective tax rate %</t>
  </si>
  <si>
    <t>AR CY2025 P&amp;L:  tax 9,476.06 / PBT 40,096.48</t>
  </si>
  <si>
    <t>Profit after tax (Rs mn)</t>
  </si>
  <si>
    <t>Calculated.  AR states Rs 30,620.42 mn</t>
  </si>
  <si>
    <t>2.  SCENARIO MODEL   —   blue cells are team assumptions</t>
  </si>
  <si>
    <t>Probability
of scenario</t>
  </si>
  <si>
    <t>Volume
growth %</t>
  </si>
  <si>
    <t>Realisation
growth %</t>
  </si>
  <si>
    <t>Gross
margin %</t>
  </si>
  <si>
    <t>Op cost
growth %</t>
  </si>
  <si>
    <t>EBITDA
margin %</t>
  </si>
  <si>
    <t>Non-EBITDA
items (Rs mn)</t>
  </si>
  <si>
    <t>PAT vs
CY2025</t>
  </si>
  <si>
    <t>n/a</t>
  </si>
  <si>
    <t>SOURCES, EVIDENCE GRADES AND TEAM ASSUMPTIONS</t>
  </si>
  <si>
    <t>Grade A = VBL primary.   B = official external (regulator or government).   C = authoritative external.   D = team inference.   E = team assumption.</t>
  </si>
  <si>
    <t>Item</t>
  </si>
  <si>
    <t>Value used</t>
  </si>
  <si>
    <t>Grade</t>
  </si>
  <si>
    <t>Note</t>
  </si>
  <si>
    <t>Net revenue CY2025</t>
  </si>
  <si>
    <t>Rs 216,853.79 mn</t>
  </si>
  <si>
    <t>VBL Annual Report CY2025, MD&amp;A</t>
  </si>
  <si>
    <t>A</t>
  </si>
  <si>
    <t>Revenue from operations 222,255.84 less excise duty 5,402.05.  The Ind AS 115 note shows 213,748.09 because it is net of discounts and rebates; the P&amp;L figure is used throughout.</t>
  </si>
  <si>
    <t>EBITDA CY2025</t>
  </si>
  <si>
    <t>Rs 50,493.69 mn</t>
  </si>
  <si>
    <t>Anchor for the 1-5 impact scale.</t>
  </si>
  <si>
    <t>PAT CY2025</t>
  </si>
  <si>
    <t>Rs 30,620.42 mn</t>
  </si>
  <si>
    <t>Base for the PAT change column in the stress test.</t>
  </si>
  <si>
    <t>Total sales volume CY2025</t>
  </si>
  <si>
    <t>1,213.1 mn cases</t>
  </si>
  <si>
    <t>India 839, international 374.</t>
  </si>
  <si>
    <t>Net realisation per case CY2025</t>
  </si>
  <si>
    <t>Rs 178.8</t>
  </si>
  <si>
    <t>Calculated in the model as net revenue divided by volume.</t>
  </si>
  <si>
    <t>Gross margin CY2025</t>
  </si>
  <si>
    <t>55.2%</t>
  </si>
  <si>
    <t>CY2024 was 55.5%.  Evidence that input-cost controls are working (R05).</t>
  </si>
  <si>
    <t>India revenue CY2025</t>
  </si>
  <si>
    <t>Rs 136,045.62 mn</t>
  </si>
  <si>
    <t>VBL AR CY2025, Ind AS 115 geography note</t>
  </si>
  <si>
    <t>CY2024 was 136,173.93, so India revenue was flat.  Central evidence for R01.</t>
  </si>
  <si>
    <t>Revenue outside India CY2025</t>
  </si>
  <si>
    <t>Rs 77,702.47 mn</t>
  </si>
  <si>
    <t>CY2024 63,013.31, up 23.3%.  36.4% of contract revenue.  Evidence for R07 and R09.</t>
  </si>
  <si>
    <t>Volume mix CY2025</t>
  </si>
  <si>
    <t>CSD 73.9%, NCB 5.9%, water 20.2%</t>
  </si>
  <si>
    <t>Basis for the R02 exposure statement.</t>
  </si>
  <si>
    <t>Q2 CY2025 India volume</t>
  </si>
  <si>
    <t>Fell 7.1%</t>
  </si>
  <si>
    <t>VBL quarterly results, Q2 CY2025</t>
  </si>
  <si>
    <t>The realised weather event behind the R01 probability score.</t>
  </si>
  <si>
    <t>India volume growth CY2025</t>
  </si>
  <si>
    <t>+2.2%  (839 from 821 mn cases)</t>
  </si>
  <si>
    <t>Basis for the R01 impact estimate and for R06.</t>
  </si>
  <si>
    <t>Manufacturing footprint</t>
  </si>
  <si>
    <t>50 plants:  38 India, 12 international</t>
  </si>
  <si>
    <t>At 31 December 2025.</t>
  </si>
  <si>
    <t>PepsiCo India licence</t>
  </si>
  <si>
    <t>Extended to 30 April 2039</t>
  </si>
  <si>
    <t>VBL Annual Report CY2025, risk disclosure</t>
  </si>
  <si>
    <t>Some 2026 secondary commentary refers to 2049; that date is not used because it is not confirmed from a VBL filing.</t>
  </si>
  <si>
    <t>Share of PepsiCo India volumes</t>
  </si>
  <si>
    <t>More than 90%</t>
  </si>
  <si>
    <t>Basis for the R16 impact score of Severe.</t>
  </si>
  <si>
    <t>Capex CY2025</t>
  </si>
  <si>
    <t>About Rs 45,000 mn capitalised</t>
  </si>
  <si>
    <t>Includes 17,000 on four greenfields.  Evidence for R06 and R12.</t>
  </si>
  <si>
    <t>Depreciation CY2025</t>
  </si>
  <si>
    <t>Rs 12,164.63 mn, up 28.4%</t>
  </si>
  <si>
    <t>Feeds the non-EBITDA items line in the stress test.</t>
  </si>
  <si>
    <t>Net debt CY2025</t>
  </si>
  <si>
    <t>About Rs 256 mn consolidated</t>
  </si>
  <si>
    <t>India business net debt-free with free cash of about 12,250.  Basis for R24.</t>
  </si>
  <si>
    <t>18 days, from 11 days</t>
  </si>
  <si>
    <t>VBL AR CY2025, key financial ratios</t>
  </si>
  <si>
    <t>VBL attributes this to the South Africa modern-trade mix.  Basis for R11.</t>
  </si>
  <si>
    <t>Twizza acquisition</t>
  </si>
  <si>
    <t>EV about ZAR 2,095 mn</t>
  </si>
  <si>
    <t>VBL Annual Report CY2025, key developments</t>
  </si>
  <si>
    <t>Basis for R04.</t>
  </si>
  <si>
    <t>VBL disclosed risks</t>
  </si>
  <si>
    <t>Demand, business agreement, business viability, regulatory, consumer preference, raw material, packaging, water, carbon</t>
  </si>
  <si>
    <t>VBL AR CY2025, Risk and Opportunities Management</t>
  </si>
  <si>
    <t>Every disclosed risk is represented in the 24-risk universe.</t>
  </si>
  <si>
    <t>VBL risk framework</t>
  </si>
  <si>
    <t>Identify, assess, control and mitigate, monitor and report</t>
  </si>
  <si>
    <t>VBL Risk Management Policy</t>
  </si>
  <si>
    <t>Twelve risk categories disclosed; used as the starting point, not the final answer.</t>
  </si>
  <si>
    <t>GST on carbonated and caffeinated drinks</t>
  </si>
  <si>
    <t>40% GST from 22 September 2025</t>
  </si>
  <si>
    <t>GST Council 56th meeting; CBIC rate notification</t>
  </si>
  <si>
    <t>B</t>
  </si>
  <si>
    <t>Replaced 28% GST plus 12% compensation cess, so headline incidence is broadly unchanged.  The ERM issue is the continuing demerit classification and the cap it puts on pricing.</t>
  </si>
  <si>
    <t>GST on packaged water and juice drinks</t>
  </si>
  <si>
    <t>Reduced to 5%</t>
  </si>
  <si>
    <t>Supports the mix-shift response under R02.</t>
  </si>
  <si>
    <t>2025 monsoon</t>
  </si>
  <si>
    <t>Early onset over Kerala 24 May 2025; season 108% of the long period average</t>
  </si>
  <si>
    <t>India Meteorological Department</t>
  </si>
  <si>
    <t>Corroborates VBL's own statement on adverse weather in CY2025.</t>
  </si>
  <si>
    <t>Front-of-pack labelling</t>
  </si>
  <si>
    <t>Under development for high sugar products</t>
  </si>
  <si>
    <t>FSSAI</t>
  </si>
  <si>
    <t>Basis for R13.</t>
  </si>
  <si>
    <t>Credit rating</t>
  </si>
  <si>
    <t>CRISIL AAA / Stable</t>
  </si>
  <si>
    <t>CRISIL rating action</t>
  </si>
  <si>
    <t>C</t>
  </si>
  <si>
    <t>Supports the low score on R24.</t>
  </si>
  <si>
    <t>India realisation per case Q1 CY2026</t>
  </si>
  <si>
    <t>Down 1.5% while India volume grew 14.4%</t>
  </si>
  <si>
    <t>VBL quarterly results, Q1 CY2026</t>
  </si>
  <si>
    <t>The forward signal that places R03 in the headline five.  Confirm against VBL's own release before submission.</t>
  </si>
  <si>
    <t>Probability bands</t>
  </si>
  <si>
    <t>Under 10% to over 70%</t>
  </si>
  <si>
    <t>Course material, quantitative probability-impact matrix</t>
  </si>
  <si>
    <t>E</t>
  </si>
  <si>
    <t>Applied by the team to each risk.</t>
  </si>
  <si>
    <t>Impact bands</t>
  </si>
  <si>
    <t>1 to 5 as a share of CY2025 EBITDA</t>
  </si>
  <si>
    <t>Team analytical threshold</t>
  </si>
  <si>
    <t>VBL discloses no risk appetite and no scoring scale.</t>
  </si>
  <si>
    <t>Headline risk 5 override</t>
  </si>
  <si>
    <t>PepsiCo concentration</t>
  </si>
  <si>
    <t>Team judgement</t>
  </si>
  <si>
    <t>D</t>
  </si>
  <si>
    <t>Documented on the Risk Register and the Dashboard rather than hidden inside the score.</t>
  </si>
  <si>
    <t>Scenario drivers</t>
  </si>
  <si>
    <t>Scenario Analysis, blue cells in rows 22 to 24</t>
  </si>
  <si>
    <t>Team assumption</t>
  </si>
  <si>
    <t>Probability of scenario, volume growth, realisation growth, gross margin, operating cost growth and non-EBITDA items.  Not a forecast and not VBL guidance.</t>
  </si>
  <si>
    <t>RISK PROFILE ( ALL THE RISK )</t>
  </si>
  <si>
    <t xml:space="preserve">PROBABILITY  IMPACT MATRIX  </t>
  </si>
  <si>
    <t xml:space="preserve">THE FIVE HEADLINE RISKS </t>
  </si>
  <si>
    <t xml:space="preserve">STRESS TEST RESULTS </t>
  </si>
  <si>
    <t xml:space="preserve">Risk Rating </t>
  </si>
  <si>
    <t>Total Risks under each category</t>
  </si>
  <si>
    <t>Probabiliity</t>
  </si>
  <si>
    <t>VARUN BEVERAGES LIMITED   RISK REGISTER</t>
  </si>
  <si>
    <t xml:space="preserve">PROBABILITY SCALE (1-5)  </t>
  </si>
  <si>
    <t xml:space="preserve">IMPACT SCALE (1-5)  </t>
  </si>
  <si>
    <t>RISK RATING BANDS  Analytical Thresholds</t>
  </si>
  <si>
    <t>Note : Not a forecast and not VBL guidance.  Blue figures are the only inputs; every other figure is calculated.  CY2025 audited consolidated actuals are the base.</t>
  </si>
  <si>
    <t>How to read:  volume x realisation = net revenue;  net revenue x gross margin - operating cost = EBITDA;  EBITDA - Non EBITDA items (taxed)= PAT.  Operating cost is set as a growth rate rather than a variable cost because most employee and other operating expense does not fall when volume falls, which is why margin compresses faster than revenue in the adverse and severe cases.  Gross margin is the single largest lever in the severe case.</t>
  </si>
  <si>
    <t>NSE: Varun Beverages Limited.                           CY2025 audited consolidated base                     12 to 24 month risk horizon                            24 risks across five categories                                                         five carried forward as headline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</si>
</sst>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0" x14ac:knownFonts="1">
    <font>
      <sz val="11"/>
      <color theme="1"/>
      <name val="Calibri"/>
      <family val="2"/>
      <charset val="1"/>
    </font>
    <font>
      <b/>
      <sz val="18"/>
      <color rgb="FFFFFFFF"/>
      <name val="Calibri"/>
      <family val="2"/>
    </font>
    <font>
      <sz val="9"/>
      <color rgb="FF595959"/>
      <name val="Calibri"/>
      <family val="2"/>
    </font>
    <font>
      <b/>
      <sz val="10"/>
      <color rgb="FF0B2545"/>
      <name val="Calibri"/>
      <family val="2"/>
    </font>
    <font>
      <b/>
      <sz val="8"/>
      <color rgb="FF9C5700"/>
      <name val="Calibri"/>
      <family val="2"/>
    </font>
    <font>
      <b/>
      <sz val="8"/>
      <color rgb="FF843C0C"/>
      <name val="Calibri"/>
      <family val="2"/>
    </font>
    <font>
      <b/>
      <sz val="8"/>
      <color rgb="FF9C0006"/>
      <name val="Calibri"/>
      <family val="2"/>
    </font>
    <font>
      <b/>
      <sz val="8"/>
      <color rgb="FF006100"/>
      <name val="Calibri"/>
      <family val="2"/>
    </font>
    <font>
      <b/>
      <sz val="9"/>
      <color rgb="FFFFFFFF"/>
      <name val="Calibri"/>
      <family val="2"/>
    </font>
    <font>
      <b/>
      <sz val="9"/>
      <name val="Calibri"/>
      <family val="2"/>
    </font>
    <font>
      <sz val="9"/>
      <name val="Calibri"/>
      <family val="2"/>
    </font>
    <font>
      <b/>
      <sz val="9"/>
      <color rgb="FF0B2545"/>
      <name val="Calibri"/>
      <family val="2"/>
    </font>
    <font>
      <b/>
      <sz val="9"/>
      <color rgb="FF006100"/>
      <name val="Calibri"/>
      <family val="2"/>
    </font>
    <font>
      <b/>
      <sz val="9"/>
      <color rgb="FF9C5700"/>
      <name val="Calibri"/>
      <family val="2"/>
    </font>
    <font>
      <b/>
      <sz val="9"/>
      <color rgb="FF9C0006"/>
      <name val="Calibri"/>
      <family val="2"/>
    </font>
    <font>
      <i/>
      <sz val="8"/>
      <color rgb="FF595959"/>
      <name val="Calibri"/>
      <family val="2"/>
    </font>
    <font>
      <sz val="8"/>
      <name val="Calibri"/>
      <family val="2"/>
    </font>
    <font>
      <i/>
      <sz val="9"/>
      <color rgb="FF0B2545"/>
      <name val="Calibri"/>
      <family val="2"/>
    </font>
    <font>
      <b/>
      <sz val="14"/>
      <color rgb="FFFFFFFF"/>
      <name val="Calibri"/>
      <family val="2"/>
    </font>
    <font>
      <sz val="9"/>
      <color rgb="FF0000FF"/>
      <name val="Calibri"/>
      <family val="2"/>
    </font>
    <font>
      <sz val="9"/>
      <color rgb="FF000000"/>
      <name val="Calibri"/>
      <family val="2"/>
    </font>
    <font>
      <b/>
      <sz val="8"/>
      <color theme="0" tint="-0.14999847407452621"/>
      <name val="Calibri"/>
      <family val="2"/>
    </font>
    <font>
      <sz val="9"/>
      <color theme="1"/>
      <name val="Cambria"/>
      <family val="1"/>
      <scheme val="major"/>
    </font>
    <font>
      <b/>
      <sz val="20"/>
      <color theme="1"/>
      <name val="Calibri"/>
      <family val="2"/>
    </font>
    <font>
      <b/>
      <sz val="9"/>
      <color theme="0"/>
      <name val="Calibri"/>
      <family val="2"/>
    </font>
    <font>
      <b/>
      <sz val="8"/>
      <color theme="0"/>
      <name val="Calibri"/>
      <family val="2"/>
    </font>
    <font>
      <b/>
      <sz val="10"/>
      <color theme="1"/>
      <name val="Calibri"/>
      <family val="2"/>
    </font>
    <font>
      <b/>
      <sz val="10"/>
      <color theme="0"/>
      <name val="Calibri"/>
      <family val="2"/>
    </font>
    <font>
      <b/>
      <sz val="8"/>
      <color theme="1"/>
      <name val="Calibri"/>
      <family val="2"/>
    </font>
    <font>
      <b/>
      <sz val="9"/>
      <color theme="1"/>
      <name val="Calibri"/>
      <family val="2"/>
    </font>
    <font>
      <sz val="8"/>
      <color theme="1"/>
      <name val="Calibri"/>
      <family val="2"/>
    </font>
    <font>
      <sz val="9"/>
      <color theme="1"/>
      <name val="Calibri"/>
      <family val="2"/>
    </font>
    <font>
      <b/>
      <sz val="22"/>
      <color theme="0"/>
      <name val="Calibri"/>
      <family val="2"/>
    </font>
    <font>
      <b/>
      <sz val="11"/>
      <color theme="1"/>
      <name val="Calibri"/>
      <family val="2"/>
    </font>
    <font>
      <b/>
      <sz val="12"/>
      <color theme="1"/>
      <name val="Aharoni Bold"/>
    </font>
    <font>
      <sz val="12"/>
      <color theme="1"/>
      <name val="Aharoni Bold"/>
    </font>
    <font>
      <sz val="11"/>
      <color theme="1"/>
      <name val="Aharoni Bold"/>
    </font>
    <font>
      <b/>
      <sz val="11"/>
      <color rgb="FF0B2545"/>
      <name val="Calibri"/>
      <family val="2"/>
    </font>
    <font>
      <sz val="10"/>
      <color theme="1"/>
      <name val="Calibri"/>
      <family val="2"/>
    </font>
    <font>
      <sz val="12"/>
      <name val="Aharoni Bold"/>
    </font>
    <font>
      <b/>
      <sz val="9"/>
      <color theme="1"/>
      <name val="Aharoni Bold"/>
    </font>
    <font>
      <sz val="10"/>
      <color theme="1"/>
      <name val="Aharoni Bold"/>
    </font>
    <font>
      <b/>
      <sz val="10"/>
      <color theme="1"/>
      <name val="Aharoni Bold"/>
    </font>
    <font>
      <b/>
      <sz val="9"/>
      <color rgb="FFFFFFFF"/>
      <name val="Aharoni Bold"/>
    </font>
    <font>
      <b/>
      <sz val="9"/>
      <name val="Aharoni Bold"/>
    </font>
    <font>
      <b/>
      <sz val="9"/>
      <color rgb="FF0000FF"/>
      <name val="Aharoni Bold"/>
    </font>
    <font>
      <b/>
      <sz val="8"/>
      <color rgb="FF595959"/>
      <name val="Aharoni Bold"/>
    </font>
    <font>
      <b/>
      <sz val="9"/>
      <color rgb="FF000000"/>
      <name val="Aharoni Bold"/>
    </font>
    <font>
      <b/>
      <sz val="12"/>
      <color rgb="FF595959"/>
      <name val="Aharoni Bold"/>
    </font>
    <font>
      <b/>
      <sz val="14"/>
      <color theme="1"/>
      <name val="Calibri"/>
      <family val="2"/>
    </font>
  </fonts>
  <fills count="24">
    <fill>
      <patternFill patternType="none"/>
    </fill>
    <fill>
      <patternFill patternType="gray125"/>
    </fill>
    <fill>
      <patternFill patternType="solid">
        <fgColor rgb="FFF2F2F2"/>
        <bgColor rgb="FFFFF8E7"/>
      </patternFill>
    </fill>
    <fill>
      <patternFill patternType="solid">
        <fgColor rgb="FFFFEB9C"/>
        <bgColor rgb="FFF8CBAD"/>
      </patternFill>
    </fill>
    <fill>
      <patternFill patternType="solid">
        <fgColor rgb="FFF8CBAD"/>
        <bgColor rgb="FFFFC7CE"/>
      </patternFill>
    </fill>
    <fill>
      <patternFill patternType="solid">
        <fgColor rgb="FFFFC7CE"/>
        <bgColor rgb="FFF8CBAD"/>
      </patternFill>
    </fill>
    <fill>
      <patternFill patternType="solid">
        <fgColor rgb="FFC6EFCE"/>
        <bgColor rgb="FFDEEBF7"/>
      </patternFill>
    </fill>
    <fill>
      <patternFill patternType="solid">
        <fgColor rgb="FFFFF8E7"/>
        <bgColor rgb="FFF2F2F2"/>
      </patternFill>
    </fill>
    <fill>
      <patternFill patternType="solid">
        <fgColor rgb="FFDEEBF7"/>
        <bgColor rgb="FFF2F2F2"/>
      </patternFill>
    </fill>
    <fill>
      <patternFill patternType="solid">
        <fgColor theme="6" tint="-0.249977111117893"/>
        <bgColor rgb="FF1F3864"/>
      </patternFill>
    </fill>
    <fill>
      <patternFill patternType="solid">
        <fgColor theme="6" tint="-0.499984740745262"/>
        <bgColor rgb="FF1F3864"/>
      </patternFill>
    </fill>
    <fill>
      <patternFill patternType="solid">
        <fgColor theme="6" tint="0.59999389629810485"/>
        <bgColor rgb="FFFFF8E7"/>
      </patternFill>
    </fill>
    <fill>
      <patternFill patternType="solid">
        <fgColor theme="6" tint="0.79998168889431442"/>
        <bgColor rgb="FFFFF8E7"/>
      </patternFill>
    </fill>
    <fill>
      <patternFill patternType="solid">
        <fgColor theme="2" tint="-0.499984740745262"/>
        <bgColor rgb="FF1F3864"/>
      </patternFill>
    </fill>
    <fill>
      <patternFill patternType="solid">
        <fgColor theme="2" tint="-0.499984740745262"/>
        <bgColor rgb="FFFFF8E7"/>
      </patternFill>
    </fill>
    <fill>
      <patternFill patternType="solid">
        <fgColor theme="0"/>
        <bgColor rgb="FF1F3864"/>
      </patternFill>
    </fill>
    <fill>
      <patternFill patternType="solid">
        <fgColor theme="2"/>
        <bgColor rgb="FFFFF8E7"/>
      </patternFill>
    </fill>
    <fill>
      <patternFill patternType="solid">
        <fgColor theme="7" tint="0.79998168889431442"/>
        <bgColor rgb="FF1F3864"/>
      </patternFill>
    </fill>
    <fill>
      <patternFill patternType="solid">
        <fgColor theme="2"/>
        <bgColor rgb="FF1F3864"/>
      </patternFill>
    </fill>
    <fill>
      <patternFill patternType="solid">
        <fgColor theme="8" tint="0.79998168889431442"/>
        <bgColor rgb="FF1F3864"/>
      </patternFill>
    </fill>
    <fill>
      <patternFill patternType="solid">
        <fgColor theme="9" tint="0.79998168889431442"/>
        <bgColor rgb="FF1F3864"/>
      </patternFill>
    </fill>
    <fill>
      <patternFill patternType="solid">
        <fgColor theme="2" tint="-9.9978637043366805E-2"/>
        <bgColor indexed="64"/>
      </patternFill>
    </fill>
    <fill>
      <patternFill patternType="solid">
        <fgColor theme="2" tint="-0.749992370372631"/>
        <bgColor rgb="FF1F3864"/>
      </patternFill>
    </fill>
    <fill>
      <patternFill patternType="solid">
        <fgColor theme="0"/>
        <bgColor rgb="FFFFF8E7"/>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BFBFBF"/>
      </left>
      <right style="thin">
        <color rgb="FFBFBFBF"/>
      </right>
      <top style="thin">
        <color rgb="FFBFBFBF"/>
      </top>
      <bottom/>
      <diagonal/>
    </border>
    <border>
      <left style="thin">
        <color indexed="64"/>
      </left>
      <right/>
      <top style="thin">
        <color indexed="64"/>
      </top>
      <bottom style="thin">
        <color indexed="64"/>
      </bottom>
      <diagonal/>
    </border>
  </borders>
  <cellStyleXfs count="1">
    <xf numFmtId="0" fontId="0" fillId="0" borderId="0"/>
  </cellStyleXfs>
  <cellXfs count="153">
    <xf numFmtId="0" fontId="0" fillId="0" borderId="0" xfId="0"/>
    <xf numFmtId="0" fontId="21" fillId="10" borderId="0" xfId="0" applyFont="1" applyFill="1" applyAlignment="1">
      <alignment horizontal="center" vertical="center"/>
    </xf>
    <xf numFmtId="1" fontId="23" fillId="11" borderId="2" xfId="0" applyNumberFormat="1" applyFont="1" applyFill="1" applyBorder="1" applyAlignment="1">
      <alignment horizontal="center" vertical="center"/>
    </xf>
    <xf numFmtId="1" fontId="23" fillId="11" borderId="4" xfId="0" applyNumberFormat="1" applyFont="1" applyFill="1" applyBorder="1" applyAlignment="1">
      <alignment horizontal="center" vertical="center"/>
    </xf>
    <xf numFmtId="164" fontId="23" fillId="11" borderId="3" xfId="0" applyNumberFormat="1" applyFont="1" applyFill="1" applyBorder="1" applyAlignment="1">
      <alignment horizontal="center" vertical="center"/>
    </xf>
    <xf numFmtId="164" fontId="23" fillId="11" borderId="4" xfId="0" applyNumberFormat="1" applyFont="1" applyFill="1" applyBorder="1" applyAlignment="1">
      <alignment horizontal="center" vertical="center"/>
    </xf>
    <xf numFmtId="0" fontId="22" fillId="12" borderId="5" xfId="0" applyFont="1" applyFill="1" applyBorder="1" applyAlignment="1">
      <alignment horizontal="center" vertical="center"/>
    </xf>
    <xf numFmtId="0" fontId="22" fillId="12" borderId="7" xfId="0" applyFont="1" applyFill="1" applyBorder="1" applyAlignment="1">
      <alignment horizontal="center" vertical="center"/>
    </xf>
    <xf numFmtId="0" fontId="22" fillId="12" borderId="6" xfId="0" applyFont="1" applyFill="1" applyBorder="1" applyAlignment="1">
      <alignment horizontal="center" vertical="center"/>
    </xf>
    <xf numFmtId="0" fontId="3" fillId="0" borderId="0" xfId="0" applyFont="1" applyFill="1" applyAlignment="1">
      <alignment vertical="center"/>
    </xf>
    <xf numFmtId="0" fontId="21" fillId="0" borderId="0" xfId="0" applyFont="1" applyFill="1" applyAlignment="1">
      <alignment vertical="center"/>
    </xf>
    <xf numFmtId="0" fontId="24" fillId="13" borderId="0" xfId="0" applyFont="1" applyFill="1" applyAlignment="1">
      <alignment horizontal="center" vertical="center"/>
    </xf>
    <xf numFmtId="0" fontId="25" fillId="10" borderId="0" xfId="0" applyFont="1" applyFill="1" applyAlignment="1">
      <alignment horizontal="center" vertical="center"/>
    </xf>
    <xf numFmtId="0" fontId="27" fillId="14" borderId="0" xfId="0" applyFont="1" applyFill="1" applyAlignment="1">
      <alignment horizontal="center" vertical="center"/>
    </xf>
    <xf numFmtId="0" fontId="24" fillId="13" borderId="1"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left" vertical="center" indent="1"/>
    </xf>
    <xf numFmtId="0" fontId="10" fillId="0" borderId="1" xfId="0" applyFont="1" applyBorder="1" applyAlignment="1">
      <alignment horizontal="center" vertical="center"/>
    </xf>
    <xf numFmtId="0" fontId="13" fillId="3" borderId="1" xfId="0" applyFont="1" applyFill="1" applyBorder="1" applyAlignment="1">
      <alignment horizontal="center" vertical="center"/>
    </xf>
    <xf numFmtId="0" fontId="14" fillId="5" borderId="1" xfId="0" applyFont="1" applyFill="1" applyBorder="1" applyAlignment="1">
      <alignment horizontal="center" vertical="center"/>
    </xf>
    <xf numFmtId="0" fontId="12" fillId="6" borderId="1" xfId="0" applyFont="1" applyFill="1" applyBorder="1" applyAlignment="1">
      <alignment horizontal="center" vertical="center"/>
    </xf>
    <xf numFmtId="0" fontId="26" fillId="12" borderId="1" xfId="0" applyFont="1" applyFill="1" applyBorder="1" applyAlignment="1">
      <alignment horizontal="center" vertical="center"/>
    </xf>
    <xf numFmtId="0" fontId="24" fillId="9"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11" fillId="2" borderId="1" xfId="0" applyFont="1" applyFill="1" applyBorder="1" applyAlignment="1">
      <alignment horizontal="center" vertical="center"/>
    </xf>
    <xf numFmtId="9" fontId="10" fillId="0" borderId="1" xfId="0" applyNumberFormat="1" applyFont="1" applyBorder="1" applyAlignment="1">
      <alignment horizontal="center" vertical="center"/>
    </xf>
    <xf numFmtId="165" fontId="10"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164" fontId="10" fillId="0" borderId="1" xfId="0" applyNumberFormat="1" applyFont="1" applyBorder="1" applyAlignment="1">
      <alignment horizontal="center" vertical="center"/>
    </xf>
    <xf numFmtId="164" fontId="11" fillId="0" borderId="1" xfId="0" applyNumberFormat="1" applyFont="1" applyBorder="1" applyAlignment="1">
      <alignment horizontal="center" vertical="center"/>
    </xf>
    <xf numFmtId="164" fontId="12" fillId="0" borderId="1" xfId="0" applyNumberFormat="1" applyFont="1" applyBorder="1" applyAlignment="1">
      <alignment horizontal="center" vertical="center"/>
    </xf>
    <xf numFmtId="164" fontId="13" fillId="0" borderId="1" xfId="0" applyNumberFormat="1" applyFont="1" applyBorder="1" applyAlignment="1">
      <alignment horizontal="center" vertical="center"/>
    </xf>
    <xf numFmtId="164" fontId="14" fillId="0" borderId="1" xfId="0" applyNumberFormat="1" applyFont="1" applyBorder="1" applyAlignment="1">
      <alignment horizontal="center" vertical="center"/>
    </xf>
    <xf numFmtId="0" fontId="3" fillId="16" borderId="1" xfId="0" applyFont="1" applyFill="1" applyBorder="1" applyAlignment="1">
      <alignment horizontal="center" vertical="center"/>
    </xf>
    <xf numFmtId="0" fontId="24" fillId="10"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left" vertical="center" wrapText="1" indent="1"/>
    </xf>
    <xf numFmtId="0" fontId="10" fillId="0" borderId="1" xfId="0" applyFont="1" applyBorder="1" applyAlignment="1">
      <alignment horizontal="center" vertical="center" wrapText="1"/>
    </xf>
    <xf numFmtId="0" fontId="3" fillId="2" borderId="1" xfId="0" applyFont="1" applyFill="1" applyBorder="1" applyAlignment="1">
      <alignment horizontal="left" vertical="center" indent="1"/>
    </xf>
    <xf numFmtId="0" fontId="28" fillId="0" borderId="1" xfId="0" applyFont="1" applyBorder="1" applyAlignment="1">
      <alignment horizontal="left" vertical="top" wrapText="1"/>
    </xf>
    <xf numFmtId="0" fontId="15" fillId="0" borderId="1" xfId="0" applyFont="1" applyBorder="1" applyAlignment="1">
      <alignment horizontal="left" vertical="top" wrapText="1"/>
    </xf>
    <xf numFmtId="0" fontId="27" fillId="14" borderId="1" xfId="0" applyFont="1" applyFill="1" applyBorder="1" applyAlignment="1">
      <alignment horizontal="left" vertical="center" indent="1"/>
    </xf>
    <xf numFmtId="0" fontId="28" fillId="15" borderId="1" xfId="0" applyFont="1" applyFill="1" applyBorder="1" applyAlignment="1">
      <alignment horizontal="center" vertical="center" wrapText="1"/>
    </xf>
    <xf numFmtId="0" fontId="28" fillId="15"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 fillId="9" borderId="1" xfId="0" applyFont="1" applyFill="1" applyBorder="1" applyAlignment="1">
      <alignment horizontal="center" vertical="center"/>
    </xf>
    <xf numFmtId="0" fontId="0" fillId="0" borderId="2" xfId="0" applyBorder="1"/>
    <xf numFmtId="0" fontId="0" fillId="0" borderId="4" xfId="0" applyBorder="1"/>
    <xf numFmtId="0" fontId="0" fillId="0" borderId="0" xfId="0" applyBorder="1"/>
    <xf numFmtId="0" fontId="10" fillId="0" borderId="9" xfId="0" applyFont="1" applyBorder="1" applyAlignment="1">
      <alignment horizontal="left" vertical="center" wrapText="1" indent="1"/>
    </xf>
    <xf numFmtId="164" fontId="14" fillId="0" borderId="9" xfId="0" applyNumberFormat="1" applyFont="1" applyBorder="1" applyAlignment="1">
      <alignment horizontal="center" vertical="center"/>
    </xf>
    <xf numFmtId="0" fontId="0" fillId="0" borderId="3" xfId="0" applyBorder="1"/>
    <xf numFmtId="0" fontId="15" fillId="0" borderId="0" xfId="0" applyFont="1" applyBorder="1" applyAlignment="1">
      <alignment horizontal="left" vertical="top" wrapText="1"/>
    </xf>
    <xf numFmtId="0" fontId="15" fillId="0" borderId="10" xfId="0" applyFont="1" applyBorder="1" applyAlignment="1">
      <alignment horizontal="left" vertical="top" wrapText="1"/>
    </xf>
    <xf numFmtId="0" fontId="30" fillId="0" borderId="1" xfId="0" applyFont="1" applyBorder="1" applyAlignment="1">
      <alignment horizontal="left" vertical="top" wrapText="1"/>
    </xf>
    <xf numFmtId="0" fontId="16" fillId="0" borderId="1" xfId="0" applyFont="1" applyBorder="1" applyAlignment="1">
      <alignment horizontal="left" vertical="center" indent="1"/>
    </xf>
    <xf numFmtId="0" fontId="16" fillId="0" borderId="1" xfId="0" applyFont="1" applyBorder="1" applyAlignment="1">
      <alignment horizontal="center" vertical="center"/>
    </xf>
    <xf numFmtId="0" fontId="16" fillId="0" borderId="1" xfId="0" applyFont="1" applyFill="1" applyBorder="1" applyAlignment="1">
      <alignment horizontal="left" vertical="center" indent="1"/>
    </xf>
    <xf numFmtId="0" fontId="30" fillId="0" borderId="1" xfId="0" applyFont="1" applyBorder="1" applyAlignment="1">
      <alignment horizontal="left" vertical="center" indent="1"/>
    </xf>
    <xf numFmtId="0" fontId="30" fillId="0" borderId="1" xfId="0" applyFont="1" applyBorder="1" applyAlignment="1">
      <alignment horizontal="center" vertical="center"/>
    </xf>
    <xf numFmtId="0" fontId="31" fillId="0" borderId="1" xfId="0" applyFont="1" applyBorder="1" applyAlignment="1">
      <alignment horizontal="left" vertical="center" indent="1"/>
    </xf>
    <xf numFmtId="0" fontId="2" fillId="0" borderId="0" xfId="0" applyFont="1" applyAlignment="1">
      <alignment vertical="center"/>
    </xf>
    <xf numFmtId="0" fontId="32" fillId="13" borderId="0" xfId="0" applyFont="1" applyFill="1" applyAlignment="1">
      <alignment horizontal="center" vertical="center"/>
    </xf>
    <xf numFmtId="0" fontId="34" fillId="2" borderId="1" xfId="0" applyFont="1" applyFill="1" applyBorder="1" applyAlignment="1">
      <alignment vertical="center"/>
    </xf>
    <xf numFmtId="0" fontId="35" fillId="0" borderId="1" xfId="0" applyFont="1" applyBorder="1" applyAlignment="1">
      <alignment horizontal="center" vertical="center"/>
    </xf>
    <xf numFmtId="0" fontId="34" fillId="17" borderId="1" xfId="0" applyFont="1" applyFill="1" applyBorder="1" applyAlignment="1">
      <alignment horizontal="center" vertical="center" wrapText="1"/>
    </xf>
    <xf numFmtId="0" fontId="24" fillId="10" borderId="1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31" fillId="7" borderId="1" xfId="0" applyFont="1" applyFill="1" applyBorder="1" applyAlignment="1">
      <alignment horizontal="left" vertical="center" wrapText="1" indent="1"/>
    </xf>
    <xf numFmtId="0" fontId="29" fillId="7" borderId="1" xfId="0" applyFont="1" applyFill="1" applyBorder="1" applyAlignment="1">
      <alignment horizontal="left" vertical="center" wrapText="1" indent="1"/>
    </xf>
    <xf numFmtId="0" fontId="31" fillId="7"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horizontal="left" vertical="center" wrapText="1" indent="1"/>
    </xf>
    <xf numFmtId="0" fontId="29" fillId="0" borderId="1" xfId="0" applyFont="1" applyBorder="1" applyAlignment="1">
      <alignment horizontal="center" vertical="center" wrapText="1"/>
    </xf>
    <xf numFmtId="0" fontId="36" fillId="0" borderId="0" xfId="0" applyFont="1"/>
    <xf numFmtId="0" fontId="34" fillId="0" borderId="1" xfId="0" applyFont="1" applyFill="1" applyBorder="1" applyAlignment="1">
      <alignment vertical="center"/>
    </xf>
    <xf numFmtId="0" fontId="34" fillId="0" borderId="1" xfId="0" applyFont="1" applyBorder="1" applyAlignment="1">
      <alignment horizontal="center" vertical="center"/>
    </xf>
    <xf numFmtId="0" fontId="34" fillId="18" borderId="1" xfId="0" applyFont="1" applyFill="1" applyBorder="1" applyAlignment="1">
      <alignment horizontal="center" vertical="center" wrapText="1"/>
    </xf>
    <xf numFmtId="0" fontId="37" fillId="2" borderId="12" xfId="0" applyFont="1" applyFill="1" applyBorder="1" applyAlignment="1">
      <alignment horizontal="center" vertical="center"/>
    </xf>
    <xf numFmtId="0" fontId="37" fillId="2" borderId="10" xfId="0" applyFont="1" applyFill="1" applyBorder="1" applyAlignment="1">
      <alignment horizontal="center" vertical="center"/>
    </xf>
    <xf numFmtId="0" fontId="37" fillId="2" borderId="8" xfId="0" applyFont="1" applyFill="1" applyBorder="1" applyAlignment="1">
      <alignment horizontal="center" vertical="center"/>
    </xf>
    <xf numFmtId="0" fontId="3" fillId="0" borderId="0" xfId="0" applyFont="1" applyFill="1" applyBorder="1" applyAlignment="1">
      <alignment vertical="center"/>
    </xf>
    <xf numFmtId="0" fontId="33" fillId="20" borderId="1" xfId="0" applyFont="1" applyFill="1" applyBorder="1" applyAlignment="1">
      <alignment horizontal="center" vertical="center" wrapText="1"/>
    </xf>
    <xf numFmtId="0" fontId="17" fillId="0" borderId="0" xfId="0" applyFont="1" applyAlignment="1">
      <alignment vertical="top" wrapText="1"/>
    </xf>
    <xf numFmtId="0" fontId="29" fillId="0" borderId="1" xfId="0" applyFont="1" applyBorder="1" applyAlignment="1">
      <alignment horizontal="center" vertical="top" wrapText="1"/>
    </xf>
    <xf numFmtId="0" fontId="35" fillId="0" borderId="1" xfId="0" applyFont="1" applyBorder="1" applyAlignment="1">
      <alignment horizontal="left" vertical="center" indent="1"/>
    </xf>
    <xf numFmtId="0" fontId="39" fillId="0" borderId="1" xfId="0" applyFont="1" applyBorder="1" applyAlignment="1">
      <alignment horizontal="center" vertical="center"/>
    </xf>
    <xf numFmtId="0" fontId="40" fillId="19" borderId="1" xfId="0" applyFont="1" applyFill="1" applyBorder="1" applyAlignment="1">
      <alignment horizontal="center" vertical="center" wrapText="1"/>
    </xf>
    <xf numFmtId="0" fontId="41" fillId="0" borderId="1" xfId="0" applyFont="1" applyBorder="1" applyAlignment="1">
      <alignment horizontal="left" vertical="center" indent="1"/>
    </xf>
    <xf numFmtId="0" fontId="41" fillId="0" borderId="1" xfId="0" applyFont="1" applyBorder="1" applyAlignment="1">
      <alignment horizontal="center" vertical="center"/>
    </xf>
    <xf numFmtId="0" fontId="33" fillId="0" borderId="1" xfId="0" applyFont="1" applyBorder="1" applyAlignment="1">
      <alignment horizontal="center" vertical="center"/>
    </xf>
    <xf numFmtId="0" fontId="18" fillId="0" borderId="0" xfId="0" applyFont="1" applyFill="1" applyAlignment="1">
      <alignment vertical="center"/>
    </xf>
    <xf numFmtId="0" fontId="18" fillId="9" borderId="0" xfId="0" applyFont="1" applyFill="1" applyAlignment="1">
      <alignment horizontal="center" vertical="center"/>
    </xf>
    <xf numFmtId="0" fontId="26" fillId="0"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29" fillId="0" borderId="1" xfId="0" applyFont="1" applyFill="1" applyBorder="1" applyAlignment="1">
      <alignment horizontal="center" vertical="center"/>
    </xf>
    <xf numFmtId="0" fontId="29" fillId="3" borderId="1"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29" fillId="6"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31" fillId="6" borderId="1"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38" fillId="0" borderId="12" xfId="0" applyFont="1" applyBorder="1" applyAlignment="1">
      <alignment horizontal="center" vertical="center"/>
    </xf>
    <xf numFmtId="0" fontId="38" fillId="0" borderId="10" xfId="0" applyFont="1" applyBorder="1" applyAlignment="1">
      <alignment horizontal="center" vertical="center"/>
    </xf>
    <xf numFmtId="0" fontId="38" fillId="0" borderId="8" xfId="0" applyFont="1" applyBorder="1" applyAlignment="1">
      <alignment horizontal="center" vertical="center"/>
    </xf>
    <xf numFmtId="0" fontId="8" fillId="9"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9" fillId="0" borderId="1" xfId="0" applyFont="1" applyBorder="1" applyAlignment="1">
      <alignment horizontal="left" vertical="center" indent="1"/>
    </xf>
    <xf numFmtId="0" fontId="18" fillId="13" borderId="1" xfId="0" applyFont="1" applyFill="1" applyBorder="1" applyAlignment="1">
      <alignment horizontal="center" vertical="center"/>
    </xf>
    <xf numFmtId="0" fontId="42" fillId="2" borderId="1" xfId="0" applyFont="1" applyFill="1" applyBorder="1" applyAlignment="1">
      <alignment horizontal="left" vertical="center" indent="1"/>
    </xf>
    <xf numFmtId="0" fontId="43" fillId="10" borderId="1" xfId="0" applyFont="1" applyFill="1" applyBorder="1" applyAlignment="1">
      <alignment horizontal="center" vertical="center" wrapText="1"/>
    </xf>
    <xf numFmtId="0" fontId="43" fillId="10" borderId="1" xfId="0" applyFont="1" applyFill="1" applyBorder="1" applyAlignment="1">
      <alignment horizontal="center" vertical="center" wrapText="1"/>
    </xf>
    <xf numFmtId="0" fontId="44" fillId="0" borderId="1" xfId="0" applyFont="1" applyBorder="1" applyAlignment="1">
      <alignment horizontal="left" vertical="center" indent="1"/>
    </xf>
    <xf numFmtId="165" fontId="45" fillId="0" borderId="1" xfId="0" applyNumberFormat="1" applyFont="1" applyBorder="1" applyAlignment="1">
      <alignment horizontal="center" vertical="center"/>
    </xf>
    <xf numFmtId="0" fontId="46" fillId="0" borderId="1" xfId="0" applyFont="1" applyBorder="1" applyAlignment="1">
      <alignment horizontal="left" vertical="center" indent="1"/>
    </xf>
    <xf numFmtId="3" fontId="45" fillId="0" borderId="1" xfId="0" applyNumberFormat="1" applyFont="1" applyBorder="1" applyAlignment="1">
      <alignment horizontal="center" vertical="center"/>
    </xf>
    <xf numFmtId="0" fontId="44" fillId="21" borderId="1" xfId="0" applyFont="1" applyFill="1" applyBorder="1" applyAlignment="1">
      <alignment horizontal="left" vertical="center" indent="1"/>
    </xf>
    <xf numFmtId="2" fontId="47" fillId="21" borderId="1" xfId="0" applyNumberFormat="1" applyFont="1" applyFill="1" applyBorder="1" applyAlignment="1">
      <alignment horizontal="center" vertical="center"/>
    </xf>
    <xf numFmtId="164" fontId="47" fillId="21" borderId="1" xfId="0" applyNumberFormat="1" applyFont="1" applyFill="1" applyBorder="1" applyAlignment="1">
      <alignment horizontal="center" vertical="center"/>
    </xf>
    <xf numFmtId="3" fontId="47" fillId="21" borderId="1" xfId="0" applyNumberFormat="1" applyFont="1" applyFill="1" applyBorder="1" applyAlignment="1">
      <alignment horizontal="center" vertical="center"/>
    </xf>
    <xf numFmtId="3" fontId="45" fillId="21" borderId="1" xfId="0" applyNumberFormat="1" applyFont="1" applyFill="1" applyBorder="1" applyAlignment="1">
      <alignment horizontal="center" vertical="center"/>
    </xf>
    <xf numFmtId="164" fontId="45" fillId="21" borderId="1" xfId="0" applyNumberFormat="1" applyFont="1" applyFill="1" applyBorder="1" applyAlignment="1">
      <alignment horizontal="center" vertical="center"/>
    </xf>
    <xf numFmtId="3" fontId="47" fillId="0" borderId="1" xfId="0" applyNumberFormat="1" applyFont="1" applyBorder="1" applyAlignment="1">
      <alignment horizontal="center" vertical="center"/>
    </xf>
    <xf numFmtId="9" fontId="20" fillId="0" borderId="1" xfId="0" applyNumberFormat="1" applyFont="1" applyBorder="1" applyAlignment="1">
      <alignment horizontal="center" vertical="center"/>
    </xf>
    <xf numFmtId="164" fontId="20" fillId="0" borderId="1" xfId="0" applyNumberFormat="1" applyFont="1" applyBorder="1" applyAlignment="1">
      <alignment horizontal="center" vertical="center"/>
    </xf>
    <xf numFmtId="165" fontId="20" fillId="0" borderId="1" xfId="0" applyNumberFormat="1" applyFont="1" applyBorder="1" applyAlignment="1">
      <alignment horizontal="center" vertical="center"/>
    </xf>
    <xf numFmtId="3" fontId="20" fillId="0" borderId="1" xfId="0" applyNumberFormat="1" applyFont="1" applyBorder="1" applyAlignment="1">
      <alignment horizontal="center" vertical="center"/>
    </xf>
    <xf numFmtId="164" fontId="11" fillId="0" borderId="1" xfId="0" applyNumberFormat="1" applyFont="1" applyBorder="1" applyAlignment="1">
      <alignment horizontal="center" vertical="center"/>
    </xf>
    <xf numFmtId="9" fontId="19" fillId="0" borderId="1" xfId="0" applyNumberFormat="1" applyFont="1" applyBorder="1" applyAlignment="1">
      <alignment horizontal="center" vertical="center"/>
    </xf>
    <xf numFmtId="164" fontId="19" fillId="0" borderId="1" xfId="0" applyNumberFormat="1" applyFont="1" applyBorder="1" applyAlignment="1">
      <alignment horizontal="center" vertical="center"/>
    </xf>
    <xf numFmtId="3" fontId="19" fillId="0" borderId="1" xfId="0" applyNumberFormat="1" applyFont="1" applyBorder="1" applyAlignment="1">
      <alignment horizontal="center" vertical="center"/>
    </xf>
    <xf numFmtId="164" fontId="12" fillId="0" borderId="1" xfId="0" applyNumberFormat="1" applyFont="1" applyBorder="1" applyAlignment="1">
      <alignment horizontal="center" vertical="center"/>
    </xf>
    <xf numFmtId="164" fontId="13" fillId="0" borderId="1" xfId="0" applyNumberFormat="1" applyFont="1" applyBorder="1" applyAlignment="1">
      <alignment horizontal="center" vertical="center"/>
    </xf>
    <xf numFmtId="164" fontId="14" fillId="0" borderId="1" xfId="0" applyNumberFormat="1" applyFont="1" applyBorder="1" applyAlignment="1">
      <alignment horizontal="center" vertical="center"/>
    </xf>
    <xf numFmtId="0" fontId="48" fillId="0" borderId="1" xfId="0" applyFont="1" applyBorder="1" applyAlignment="1">
      <alignment horizontal="center" vertical="top" wrapText="1"/>
    </xf>
    <xf numFmtId="0" fontId="26" fillId="23" borderId="1" xfId="0" applyFont="1" applyFill="1" applyBorder="1" applyAlignment="1">
      <alignment horizontal="left" vertical="center" indent="1"/>
    </xf>
    <xf numFmtId="0" fontId="8" fillId="22" borderId="1" xfId="0" applyFont="1" applyFill="1" applyBorder="1" applyAlignment="1">
      <alignment horizontal="center" vertical="center" wrapText="1"/>
    </xf>
    <xf numFmtId="0" fontId="0" fillId="0" borderId="1" xfId="0" applyBorder="1"/>
    <xf numFmtId="0" fontId="49" fillId="15" borderId="1" xfId="0" applyFont="1" applyFill="1" applyBorder="1" applyAlignment="1">
      <alignment horizontal="left" vertical="center" indent="1"/>
    </xf>
    <xf numFmtId="0" fontId="29" fillId="15" borderId="1" xfId="0" applyFont="1" applyFill="1" applyBorder="1" applyAlignment="1">
      <alignment horizontal="center" vertical="center"/>
    </xf>
    <xf numFmtId="0" fontId="10" fillId="0" borderId="1" xfId="0" applyFont="1" applyBorder="1" applyAlignment="1">
      <alignment horizontal="left" vertical="center" wrapText="1" indent="1"/>
    </xf>
    <xf numFmtId="0" fontId="9" fillId="6" borderId="1" xfId="0" applyFont="1" applyFill="1" applyBorder="1" applyAlignment="1">
      <alignment horizontal="center" vertical="center" wrapText="1"/>
    </xf>
    <xf numFmtId="0" fontId="10" fillId="0" borderId="1" xfId="0" applyFont="1" applyBorder="1" applyAlignment="1">
      <alignment horizontal="left" vertical="top" wrapText="1" indent="1"/>
    </xf>
    <xf numFmtId="0" fontId="9" fillId="8" borderId="1" xfId="0" applyFont="1" applyFill="1" applyBorder="1" applyAlignment="1">
      <alignment horizontal="center" vertical="center" wrapText="1"/>
    </xf>
    <xf numFmtId="0" fontId="9" fillId="3" borderId="1" xfId="0" applyFont="1" applyFill="1" applyBorder="1" applyAlignment="1">
      <alignment horizontal="center" vertical="center" wrapText="1"/>
    </xf>
  </cellXfs>
  <cellStyles count="1">
    <cellStyle name="Normal" xfId="0" builtinId="0"/>
  </cellStyles>
  <dxfs count="12">
    <dxf>
      <font>
        <b/>
        <sz val="9"/>
        <color rgb="FF9C0006"/>
        <name val="Calibri"/>
        <charset val="1"/>
      </font>
      <fill>
        <patternFill>
          <bgColor rgb="FFFFC7CE"/>
        </patternFill>
      </fill>
    </dxf>
    <dxf>
      <font>
        <b/>
        <sz val="9"/>
        <color rgb="FF843C0C"/>
        <name val="Calibri"/>
        <charset val="1"/>
      </font>
      <fill>
        <patternFill>
          <bgColor rgb="FFF8CBAD"/>
        </patternFill>
      </fill>
    </dxf>
    <dxf>
      <font>
        <b/>
        <sz val="9"/>
        <color rgb="FF9C5700"/>
        <name val="Calibri"/>
        <charset val="1"/>
      </font>
      <fill>
        <patternFill>
          <bgColor rgb="FFFFEB9C"/>
        </patternFill>
      </fill>
    </dxf>
    <dxf>
      <font>
        <b/>
        <sz val="9"/>
        <color rgb="FF006100"/>
        <name val="Calibri"/>
        <charset val="1"/>
      </font>
      <fill>
        <patternFill>
          <bgColor rgb="FFC6EFCE"/>
        </patternFill>
      </fill>
    </dxf>
    <dxf>
      <font>
        <b/>
        <sz val="9"/>
        <color rgb="FF9C0006"/>
        <name val="Calibri"/>
        <charset val="1"/>
      </font>
      <fill>
        <patternFill>
          <bgColor rgb="FFFFC7CE"/>
        </patternFill>
      </fill>
    </dxf>
    <dxf>
      <font>
        <b/>
        <sz val="9"/>
        <color rgb="FF843C0C"/>
        <name val="Calibri"/>
        <charset val="1"/>
      </font>
      <fill>
        <patternFill>
          <bgColor rgb="FFF8CBAD"/>
        </patternFill>
      </fill>
    </dxf>
    <dxf>
      <font>
        <b/>
        <sz val="9"/>
        <color rgb="FF9C5700"/>
        <name val="Calibri"/>
        <charset val="1"/>
      </font>
      <fill>
        <patternFill>
          <bgColor rgb="FFFFEB9C"/>
        </patternFill>
      </fill>
    </dxf>
    <dxf>
      <font>
        <b/>
        <sz val="9"/>
        <color rgb="FF006100"/>
        <name val="Calibri"/>
        <charset val="1"/>
      </font>
      <fill>
        <patternFill>
          <bgColor rgb="FFC6EFCE"/>
        </patternFill>
      </fill>
    </dxf>
    <dxf>
      <font>
        <b/>
        <sz val="9"/>
        <color rgb="FF9C0006"/>
        <name val="Calibri"/>
        <charset val="1"/>
      </font>
      <fill>
        <patternFill>
          <bgColor rgb="FFFFC7CE"/>
        </patternFill>
      </fill>
    </dxf>
    <dxf>
      <font>
        <b/>
        <sz val="9"/>
        <color rgb="FF843C0C"/>
        <name val="Calibri"/>
        <charset val="1"/>
      </font>
      <fill>
        <patternFill>
          <bgColor rgb="FFF8CBAD"/>
        </patternFill>
      </fill>
    </dxf>
    <dxf>
      <font>
        <b/>
        <sz val="9"/>
        <color rgb="FF9C5700"/>
        <name val="Calibri"/>
        <charset val="1"/>
      </font>
      <fill>
        <patternFill>
          <bgColor rgb="FFFFEB9C"/>
        </patternFill>
      </fill>
    </dxf>
    <dxf>
      <font>
        <b/>
        <sz val="9"/>
        <color rgb="FF006100"/>
        <name val="Calibri"/>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9C5700"/>
      <rgbColor rgb="FF800080"/>
      <rgbColor rgb="FF008080"/>
      <rgbColor rgb="FFBFBFBF"/>
      <rgbColor rgb="FF4F81BD"/>
      <rgbColor rgb="FF9999FF"/>
      <rgbColor rgb="FF993366"/>
      <rgbColor rgb="FFFFF8E7"/>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B3B3B3"/>
      <rgbColor rgb="FFFFC7CE"/>
      <rgbColor rgb="FFCC99FF"/>
      <rgbColor rgb="FFF8CBAD"/>
      <rgbColor rgb="FF3366FF"/>
      <rgbColor rgb="FF33CCCC"/>
      <rgbColor rgb="FF99CC00"/>
      <rgbColor rgb="FFFFC000"/>
      <rgbColor rgb="FFFF9900"/>
      <rgbColor rgb="FFED7D31"/>
      <rgbColor rgb="FF595959"/>
      <rgbColor rgb="FFA6A6A6"/>
      <rgbColor rgb="FF0B2545"/>
      <rgbColor rgb="FF70AD47"/>
      <rgbColor rgb="FF003300"/>
      <rgbColor rgb="FF333300"/>
      <rgbColor rgb="FF843C0C"/>
      <rgbColor rgb="FF993366"/>
      <rgbColor rgb="FF333399"/>
      <rgbColor rgb="FF1F3864"/>
      <rgbColor rgb="00003366"/>
      <rgbColor rgb="00339966"/>
      <rgbColor rgb="00003300"/>
      <rgbColor rgb="00333300"/>
      <rgbColor rgb="00993300"/>
      <rgbColor rgb="00993366"/>
      <rgbColor rgb="00333399"/>
      <rgbColor rgb="00333333"/>
    </indexedColors>
    <mruColors>
      <color rgb="FFFFDF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041630035068782"/>
          <c:y val="8.2046411943244232E-2"/>
          <c:w val="0.495377527050129"/>
          <c:h val="0.69163590935648078"/>
        </c:manualLayout>
      </c:layout>
      <c:barChart>
        <c:barDir val="bar"/>
        <c:grouping val="stacked"/>
        <c:varyColors val="0"/>
        <c:ser>
          <c:idx val="0"/>
          <c:order val="0"/>
          <c:tx>
            <c:strRef>
              <c:f>Dashboard!$C$69</c:f>
              <c:strCache>
                <c:ptCount val="1"/>
                <c:pt idx="0">
                  <c:v>Low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Dashboard!$B$70:$B$74</c:f>
              <c:strCache>
                <c:ptCount val="5"/>
                <c:pt idx="0">
                  <c:v>Strategic &amp; International</c:v>
                </c:pt>
                <c:pt idx="1">
                  <c:v>Operations &amp; Supply Chain</c:v>
                </c:pt>
                <c:pt idx="2">
                  <c:v>Financial &amp; Market</c:v>
                </c:pt>
                <c:pt idx="3">
                  <c:v>Regulatory &amp; Compliance</c:v>
                </c:pt>
                <c:pt idx="4">
                  <c:v>Climate &amp; Environment</c:v>
                </c:pt>
              </c:strCache>
            </c:strRef>
          </c:cat>
          <c:val>
            <c:numRef>
              <c:f>Dashboard!$C$70:$C$74</c:f>
              <c:numCache>
                <c:formatCode>General</c:formatCode>
                <c:ptCount val="5"/>
                <c:pt idx="0">
                  <c:v>0</c:v>
                </c:pt>
                <c:pt idx="1">
                  <c:v>4</c:v>
                </c:pt>
                <c:pt idx="2">
                  <c:v>2</c:v>
                </c:pt>
                <c:pt idx="3">
                  <c:v>0</c:v>
                </c:pt>
                <c:pt idx="4">
                  <c:v>2</c:v>
                </c:pt>
              </c:numCache>
            </c:numRef>
          </c:val>
          <c:extLst>
            <c:ext xmlns:c16="http://schemas.microsoft.com/office/drawing/2014/chart" uri="{C3380CC4-5D6E-409C-BE32-E72D297353CC}">
              <c16:uniqueId val="{00000000-C131-41DD-B2EB-312F4F69E5F6}"/>
            </c:ext>
          </c:extLst>
        </c:ser>
        <c:ser>
          <c:idx val="1"/>
          <c:order val="1"/>
          <c:tx>
            <c:strRef>
              <c:f>Dashboard!$D$69</c:f>
              <c:strCache>
                <c:ptCount val="1"/>
                <c:pt idx="0">
                  <c:v>Medium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Dashboard!$B$70:$B$74</c:f>
              <c:strCache>
                <c:ptCount val="5"/>
                <c:pt idx="0">
                  <c:v>Strategic &amp; International</c:v>
                </c:pt>
                <c:pt idx="1">
                  <c:v>Operations &amp; Supply Chain</c:v>
                </c:pt>
                <c:pt idx="2">
                  <c:v>Financial &amp; Market</c:v>
                </c:pt>
                <c:pt idx="3">
                  <c:v>Regulatory &amp; Compliance</c:v>
                </c:pt>
                <c:pt idx="4">
                  <c:v>Climate &amp; Environment</c:v>
                </c:pt>
              </c:strCache>
            </c:strRef>
          </c:cat>
          <c:val>
            <c:numRef>
              <c:f>Dashboard!$D$70:$D$74</c:f>
              <c:numCache>
                <c:formatCode>General</c:formatCode>
                <c:ptCount val="5"/>
                <c:pt idx="0">
                  <c:v>6</c:v>
                </c:pt>
                <c:pt idx="1">
                  <c:v>2</c:v>
                </c:pt>
                <c:pt idx="2">
                  <c:v>2</c:v>
                </c:pt>
                <c:pt idx="3">
                  <c:v>2</c:v>
                </c:pt>
                <c:pt idx="4">
                  <c:v>0</c:v>
                </c:pt>
              </c:numCache>
            </c:numRef>
          </c:val>
          <c:extLst>
            <c:ext xmlns:c16="http://schemas.microsoft.com/office/drawing/2014/chart" uri="{C3380CC4-5D6E-409C-BE32-E72D297353CC}">
              <c16:uniqueId val="{00000001-C131-41DD-B2EB-312F4F69E5F6}"/>
            </c:ext>
          </c:extLst>
        </c:ser>
        <c:ser>
          <c:idx val="2"/>
          <c:order val="2"/>
          <c:tx>
            <c:strRef>
              <c:f>Dashboard!$E$69</c:f>
              <c:strCache>
                <c:ptCount val="1"/>
                <c:pt idx="0">
                  <c:v>High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Dashboard!$B$70:$B$74</c:f>
              <c:strCache>
                <c:ptCount val="5"/>
                <c:pt idx="0">
                  <c:v>Strategic &amp; International</c:v>
                </c:pt>
                <c:pt idx="1">
                  <c:v>Operations &amp; Supply Chain</c:v>
                </c:pt>
                <c:pt idx="2">
                  <c:v>Financial &amp; Market</c:v>
                </c:pt>
                <c:pt idx="3">
                  <c:v>Regulatory &amp; Compliance</c:v>
                </c:pt>
                <c:pt idx="4">
                  <c:v>Climate &amp; Environment</c:v>
                </c:pt>
              </c:strCache>
            </c:strRef>
          </c:cat>
          <c:val>
            <c:numRef>
              <c:f>Dashboard!$E$70:$E$74</c:f>
              <c:numCache>
                <c:formatCode>General</c:formatCode>
                <c:ptCount val="5"/>
                <c:pt idx="0">
                  <c:v>1</c:v>
                </c:pt>
                <c:pt idx="1">
                  <c:v>0</c:v>
                </c:pt>
                <c:pt idx="2">
                  <c:v>1</c:v>
                </c:pt>
                <c:pt idx="3">
                  <c:v>1</c:v>
                </c:pt>
                <c:pt idx="4">
                  <c:v>0</c:v>
                </c:pt>
              </c:numCache>
            </c:numRef>
          </c:val>
          <c:extLst>
            <c:ext xmlns:c16="http://schemas.microsoft.com/office/drawing/2014/chart" uri="{C3380CC4-5D6E-409C-BE32-E72D297353CC}">
              <c16:uniqueId val="{00000002-C131-41DD-B2EB-312F4F69E5F6}"/>
            </c:ext>
          </c:extLst>
        </c:ser>
        <c:ser>
          <c:idx val="3"/>
          <c:order val="3"/>
          <c:tx>
            <c:strRef>
              <c:f>Dashboard!$F$69</c:f>
              <c:strCache>
                <c:ptCount val="1"/>
                <c:pt idx="0">
                  <c:v>Critical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Dashboard!$B$70:$B$74</c:f>
              <c:strCache>
                <c:ptCount val="5"/>
                <c:pt idx="0">
                  <c:v>Strategic &amp; International</c:v>
                </c:pt>
                <c:pt idx="1">
                  <c:v>Operations &amp; Supply Chain</c:v>
                </c:pt>
                <c:pt idx="2">
                  <c:v>Financial &amp; Market</c:v>
                </c:pt>
                <c:pt idx="3">
                  <c:v>Regulatory &amp; Compliance</c:v>
                </c:pt>
                <c:pt idx="4">
                  <c:v>Climate &amp; Environment</c:v>
                </c:pt>
              </c:strCache>
            </c:strRef>
          </c:cat>
          <c:val>
            <c:numRef>
              <c:f>Dashboard!$F$70:$F$74</c:f>
              <c:numCache>
                <c:formatCode>General</c:formatCode>
                <c:ptCount val="5"/>
                <c:pt idx="0">
                  <c:v>0</c:v>
                </c:pt>
                <c:pt idx="1">
                  <c:v>0</c:v>
                </c:pt>
                <c:pt idx="2">
                  <c:v>0</c:v>
                </c:pt>
                <c:pt idx="3">
                  <c:v>0</c:v>
                </c:pt>
                <c:pt idx="4">
                  <c:v>1</c:v>
                </c:pt>
              </c:numCache>
            </c:numRef>
          </c:val>
          <c:extLst>
            <c:ext xmlns:c16="http://schemas.microsoft.com/office/drawing/2014/chart" uri="{C3380CC4-5D6E-409C-BE32-E72D297353CC}">
              <c16:uniqueId val="{00000003-C131-41DD-B2EB-312F4F69E5F6}"/>
            </c:ext>
          </c:extLst>
        </c:ser>
        <c:dLbls>
          <c:dLblPos val="ctr"/>
          <c:showLegendKey val="0"/>
          <c:showVal val="1"/>
          <c:showCatName val="0"/>
          <c:showSerName val="0"/>
          <c:showPercent val="0"/>
          <c:showBubbleSize val="0"/>
        </c:dLbls>
        <c:gapWidth val="150"/>
        <c:overlap val="100"/>
        <c:axId val="85789906"/>
        <c:axId val="25665724"/>
      </c:barChart>
      <c:catAx>
        <c:axId val="8578990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Number of risks</a:t>
                </a:r>
              </a:p>
            </c:rich>
          </c:tx>
          <c:layout>
            <c:manualLayout>
              <c:xMode val="edge"/>
              <c:yMode val="edge"/>
              <c:x val="2.0085967248347231E-2"/>
              <c:y val="0.27409682751620779"/>
            </c:manualLayout>
          </c:layout>
          <c:overlay val="0"/>
          <c:spPr>
            <a:noFill/>
            <a:ln>
              <a:noFill/>
            </a:ln>
            <a:effectLst/>
          </c:spPr>
          <c:txPr>
            <a:bodyPr rot="-5400000" spcFirstLastPara="1" vertOverflow="ellipsis"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5665724"/>
        <c:crosses val="autoZero"/>
        <c:auto val="1"/>
        <c:lblAlgn val="ctr"/>
        <c:lblOffset val="100"/>
        <c:noMultiLvlLbl val="0"/>
      </c:catAx>
      <c:valAx>
        <c:axId val="2566572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578990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Dashboard!$C$76</c:f>
              <c:strCache>
                <c:ptCount val="1"/>
                <c:pt idx="0">
                  <c:v>Total risk score</c:v>
                </c:pt>
              </c:strCache>
            </c:strRef>
          </c:tx>
          <c:spPr>
            <a:solidFill>
              <a:schemeClr val="accent6"/>
            </a:solidFill>
            <a:ln>
              <a:noFill/>
            </a:ln>
            <a:effectLst/>
          </c:spPr>
          <c:invertIfNegative val="0"/>
          <c:cat>
            <c:strRef>
              <c:f>Dashboard!$B$77:$B$81</c:f>
              <c:strCache>
                <c:ptCount val="5"/>
                <c:pt idx="0">
                  <c:v>Strategic &amp; International</c:v>
                </c:pt>
                <c:pt idx="1">
                  <c:v>Operations &amp; Supply Chain</c:v>
                </c:pt>
                <c:pt idx="2">
                  <c:v>Financial &amp; Market</c:v>
                </c:pt>
                <c:pt idx="3">
                  <c:v>Regulatory &amp; Compliance</c:v>
                </c:pt>
                <c:pt idx="4">
                  <c:v>Climate &amp; Environment</c:v>
                </c:pt>
              </c:strCache>
            </c:strRef>
          </c:cat>
          <c:val>
            <c:numRef>
              <c:f>Dashboard!$C$77:$C$81</c:f>
              <c:numCache>
                <c:formatCode>General</c:formatCode>
                <c:ptCount val="5"/>
                <c:pt idx="0">
                  <c:v>52</c:v>
                </c:pt>
                <c:pt idx="1">
                  <c:v>28</c:v>
                </c:pt>
                <c:pt idx="2">
                  <c:v>33</c:v>
                </c:pt>
                <c:pt idx="3">
                  <c:v>24</c:v>
                </c:pt>
                <c:pt idx="4">
                  <c:v>24</c:v>
                </c:pt>
              </c:numCache>
            </c:numRef>
          </c:val>
          <c:extLst>
            <c:ext xmlns:c16="http://schemas.microsoft.com/office/drawing/2014/chart" uri="{C3380CC4-5D6E-409C-BE32-E72D297353CC}">
              <c16:uniqueId val="{00000000-F8B6-4A5F-94C5-D41BDCA9E06E}"/>
            </c:ext>
          </c:extLst>
        </c:ser>
        <c:dLbls>
          <c:showLegendKey val="0"/>
          <c:showVal val="0"/>
          <c:showCatName val="0"/>
          <c:showSerName val="0"/>
          <c:showPercent val="0"/>
          <c:showBubbleSize val="0"/>
        </c:dLbls>
        <c:gapWidth val="150"/>
        <c:axId val="23243483"/>
        <c:axId val="76625422"/>
      </c:barChart>
      <c:catAx>
        <c:axId val="23243483"/>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6625422"/>
        <c:crosses val="autoZero"/>
        <c:auto val="1"/>
        <c:lblAlgn val="ctr"/>
        <c:lblOffset val="100"/>
        <c:noMultiLvlLbl val="0"/>
      </c:catAx>
      <c:valAx>
        <c:axId val="7662542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Total</a:t>
                </a:r>
                <a:r>
                  <a:rPr lang="en-GB" baseline="0"/>
                  <a:t> Risk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243483"/>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Dashboard!$C$61</c:f>
              <c:strCache>
                <c:ptCount val="1"/>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097-4A81-A0AD-ACFA95694EC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097-4A81-A0AD-ACFA95694EC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097-4A81-A0AD-ACFA95694EC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097-4A81-A0AD-ACFA95694EC2}"/>
              </c:ext>
            </c:extLst>
          </c:dPt>
          <c:dLbls>
            <c:dLbl>
              <c:idx val="0"/>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E097-4A81-A0AD-ACFA95694EC2}"/>
                </c:ext>
              </c:extLst>
            </c:dLbl>
            <c:dLbl>
              <c:idx val="1"/>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E097-4A81-A0AD-ACFA95694EC2}"/>
                </c:ext>
              </c:extLst>
            </c:dLbl>
            <c:dLbl>
              <c:idx val="2"/>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E097-4A81-A0AD-ACFA95694EC2}"/>
                </c:ext>
              </c:extLst>
            </c:dLbl>
            <c:dLbl>
              <c:idx val="3"/>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E097-4A81-A0AD-ACFA95694E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1"/>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Dashboard!$B$64:$B$67</c:f>
              <c:strCache>
                <c:ptCount val="4"/>
                <c:pt idx="0">
                  <c:v>Low</c:v>
                </c:pt>
                <c:pt idx="1">
                  <c:v>Medium</c:v>
                </c:pt>
                <c:pt idx="2">
                  <c:v>High</c:v>
                </c:pt>
                <c:pt idx="3">
                  <c:v>Critical</c:v>
                </c:pt>
              </c:strCache>
            </c:strRef>
          </c:cat>
          <c:val>
            <c:numRef>
              <c:f>Dashboard!$C$64:$C$67</c:f>
              <c:numCache>
                <c:formatCode>General</c:formatCode>
                <c:ptCount val="4"/>
                <c:pt idx="0">
                  <c:v>8</c:v>
                </c:pt>
                <c:pt idx="1">
                  <c:v>12</c:v>
                </c:pt>
                <c:pt idx="2">
                  <c:v>3</c:v>
                </c:pt>
                <c:pt idx="3">
                  <c:v>1</c:v>
                </c:pt>
              </c:numCache>
            </c:numRef>
          </c:val>
          <c:extLst>
            <c:ext xmlns:c16="http://schemas.microsoft.com/office/drawing/2014/chart" uri="{C3380CC4-5D6E-409C-BE32-E72D297353CC}">
              <c16:uniqueId val="{00000008-E097-4A81-A0AD-ACFA95694EC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1861704</xdr:colOff>
      <xdr:row>9</xdr:row>
      <xdr:rowOff>7401</xdr:rowOff>
    </xdr:from>
    <xdr:to>
      <xdr:col>12</xdr:col>
      <xdr:colOff>21040</xdr:colOff>
      <xdr:row>22</xdr:row>
      <xdr:rowOff>49881</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25</xdr:row>
      <xdr:rowOff>28862</xdr:rowOff>
    </xdr:from>
    <xdr:to>
      <xdr:col>5</xdr:col>
      <xdr:colOff>0</xdr:colOff>
      <xdr:row>31</xdr:row>
      <xdr:rowOff>14431</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16282</xdr:colOff>
      <xdr:row>9</xdr:row>
      <xdr:rowOff>32564</xdr:rowOff>
    </xdr:from>
    <xdr:to>
      <xdr:col>5</xdr:col>
      <xdr:colOff>0</xdr:colOff>
      <xdr:row>22</xdr:row>
      <xdr:rowOff>75044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L81"/>
  <sheetViews>
    <sheetView showGridLines="0" tabSelected="1" topLeftCell="A38" zoomScale="81" zoomScaleNormal="95" workbookViewId="0">
      <selection activeCell="H70" sqref="H70"/>
    </sheetView>
  </sheetViews>
  <sheetFormatPr baseColWidth="10" defaultColWidth="8.6640625" defaultRowHeight="15" x14ac:dyDescent="0.2"/>
  <cols>
    <col min="1" max="1" width="2" customWidth="1"/>
    <col min="2" max="2" width="16" customWidth="1"/>
    <col min="3" max="3" width="12.33203125" customWidth="1"/>
    <col min="4" max="4" width="11" customWidth="1"/>
    <col min="5" max="5" width="16.6640625" customWidth="1"/>
    <col min="6" max="6" width="24.33203125" customWidth="1"/>
    <col min="7" max="7" width="16.1640625" customWidth="1"/>
    <col min="8" max="8" width="11" customWidth="1"/>
    <col min="9" max="9" width="17.83203125" customWidth="1"/>
    <col min="10" max="10" width="11" customWidth="1"/>
    <col min="11" max="11" width="7.33203125" customWidth="1"/>
    <col min="12" max="12" width="9" customWidth="1"/>
    <col min="13" max="13" width="2" customWidth="1"/>
  </cols>
  <sheetData>
    <row r="2" spans="2:12" ht="31.5" customHeight="1" x14ac:dyDescent="0.2">
      <c r="B2" s="51" t="s">
        <v>0</v>
      </c>
      <c r="C2" s="51"/>
      <c r="D2" s="51"/>
      <c r="E2" s="51"/>
      <c r="F2" s="51"/>
      <c r="G2" s="51"/>
      <c r="H2" s="51"/>
      <c r="I2" s="51"/>
      <c r="J2" s="51"/>
      <c r="K2" s="51"/>
      <c r="L2" s="51"/>
    </row>
    <row r="3" spans="2:12" ht="15.75" customHeight="1" x14ac:dyDescent="0.2">
      <c r="B3" s="66" t="s">
        <v>434</v>
      </c>
      <c r="C3" s="66"/>
      <c r="D3" s="66"/>
      <c r="E3" s="66"/>
      <c r="F3" s="66"/>
      <c r="G3" s="66"/>
      <c r="H3" s="66"/>
      <c r="I3" s="66"/>
      <c r="J3" s="66"/>
      <c r="K3" s="66"/>
      <c r="L3" s="66"/>
    </row>
    <row r="4" spans="2:12" x14ac:dyDescent="0.2">
      <c r="B4" s="52"/>
      <c r="L4" s="53"/>
    </row>
    <row r="5" spans="2:12" ht="13.5" customHeight="1" x14ac:dyDescent="0.2">
      <c r="B5" s="1" t="s">
        <v>1</v>
      </c>
      <c r="C5" s="1"/>
      <c r="D5" s="1" t="s">
        <v>2</v>
      </c>
      <c r="E5" s="1"/>
      <c r="F5" s="1" t="s">
        <v>3</v>
      </c>
      <c r="G5" s="1"/>
      <c r="H5" s="1" t="s">
        <v>4</v>
      </c>
      <c r="I5" s="1"/>
      <c r="J5" s="1" t="s">
        <v>5</v>
      </c>
      <c r="K5" s="1"/>
      <c r="L5" s="1"/>
    </row>
    <row r="6" spans="2:12" ht="30" customHeight="1" x14ac:dyDescent="0.2">
      <c r="B6" s="2">
        <f>COUNTA('Risk Register'!A5:A28)</f>
        <v>24</v>
      </c>
      <c r="C6" s="3"/>
      <c r="D6" s="2">
        <f>COUNTIF('Risk Register'!J5:J28,"Critical")</f>
        <v>1</v>
      </c>
      <c r="E6" s="3"/>
      <c r="F6" s="2">
        <f>COUNTIF('Risk Register'!J5:J28,"High")</f>
        <v>3</v>
      </c>
      <c r="G6" s="3"/>
      <c r="H6" s="2">
        <f>COUNT('Risk Register'!K5:K28)</f>
        <v>5</v>
      </c>
      <c r="I6" s="3"/>
      <c r="J6" s="4">
        <f>'Scenario Analysis'!N24</f>
        <v>-0.49751047720747554</v>
      </c>
      <c r="K6" s="4"/>
      <c r="L6" s="5"/>
    </row>
    <row r="7" spans="2:12" ht="13.5" customHeight="1" x14ac:dyDescent="0.2">
      <c r="B7" s="6" t="s">
        <v>6</v>
      </c>
      <c r="C7" s="7"/>
      <c r="D7" s="6" t="s">
        <v>7</v>
      </c>
      <c r="E7" s="7"/>
      <c r="F7" s="6" t="s">
        <v>8</v>
      </c>
      <c r="G7" s="7"/>
      <c r="H7" s="6" t="s">
        <v>9</v>
      </c>
      <c r="I7" s="7"/>
      <c r="J7" s="8" t="s">
        <v>10</v>
      </c>
      <c r="K7" s="8"/>
      <c r="L7" s="7"/>
    </row>
    <row r="8" spans="2:12" x14ac:dyDescent="0.2">
      <c r="L8" s="53"/>
    </row>
    <row r="9" spans="2:12" ht="15" customHeight="1" x14ac:dyDescent="0.2">
      <c r="B9" s="12" t="s">
        <v>421</v>
      </c>
      <c r="C9" s="12"/>
      <c r="D9" s="12"/>
      <c r="E9" s="12"/>
      <c r="F9" s="10"/>
      <c r="G9" s="11" t="s">
        <v>11</v>
      </c>
      <c r="H9" s="11"/>
      <c r="I9" s="11"/>
      <c r="J9" s="11"/>
      <c r="K9" s="11"/>
      <c r="L9" s="11"/>
    </row>
    <row r="23" spans="2:12" x14ac:dyDescent="0.2">
      <c r="L23" s="54"/>
    </row>
    <row r="24" spans="2:12" x14ac:dyDescent="0.2">
      <c r="L24" s="54"/>
    </row>
    <row r="25" spans="2:12" ht="15" customHeight="1" x14ac:dyDescent="0.2">
      <c r="B25" s="13" t="s">
        <v>12</v>
      </c>
      <c r="C25" s="13"/>
      <c r="D25" s="13"/>
      <c r="E25" s="13"/>
      <c r="F25" s="9"/>
      <c r="G25" s="44" t="s">
        <v>422</v>
      </c>
      <c r="H25" s="44"/>
      <c r="I25" s="44"/>
      <c r="J25" s="44"/>
      <c r="K25" s="44"/>
      <c r="L25" s="44"/>
    </row>
    <row r="26" spans="2:12" ht="36" customHeight="1" x14ac:dyDescent="0.2">
      <c r="G26" s="45" t="str">
        <f>'Probability-Impact Matrix'!B5</f>
        <v>IMPACT  \  PROBABILITY</v>
      </c>
      <c r="H26" s="45" t="str">
        <f>'Probability-Impact Matrix'!C5</f>
        <v>1
Very Low
&lt;10%</v>
      </c>
      <c r="I26" s="45" t="str">
        <f>'Probability-Impact Matrix'!D5</f>
        <v>2
Low
10-29%</v>
      </c>
      <c r="J26" s="45" t="str">
        <f>'Probability-Impact Matrix'!E5</f>
        <v>3
Medium
30-49%</v>
      </c>
      <c r="K26" s="45" t="str">
        <f>'Probability-Impact Matrix'!F5</f>
        <v>4
High
50-69%</v>
      </c>
      <c r="L26" s="45" t="str">
        <f>'Probability-Impact Matrix'!G5</f>
        <v>5
Very High
&gt;70%</v>
      </c>
    </row>
    <row r="27" spans="2:12" ht="55.5" customHeight="1" x14ac:dyDescent="0.2">
      <c r="G27" s="46" t="str">
        <f>'Probability-Impact Matrix'!B6</f>
        <v>5 - Severe</v>
      </c>
      <c r="H27" s="47" t="str">
        <f>'Probability-Impact Matrix'!C6</f>
        <v>R16*
5</v>
      </c>
      <c r="I27" s="48" t="str">
        <f>'Probability-Impact Matrix'!D6</f>
        <v>10</v>
      </c>
      <c r="J27" s="48" t="str">
        <f>'Probability-Impact Matrix'!E6</f>
        <v>15</v>
      </c>
      <c r="K27" s="49" t="str">
        <f>'Probability-Impact Matrix'!F6</f>
        <v>20</v>
      </c>
      <c r="L27" s="49" t="str">
        <f>'Probability-Impact Matrix'!G6</f>
        <v>25</v>
      </c>
    </row>
    <row r="28" spans="2:12" ht="55.5" customHeight="1" x14ac:dyDescent="0.2">
      <c r="G28" s="46" t="str">
        <f>'Probability-Impact Matrix'!B7</f>
        <v>4 - Major</v>
      </c>
      <c r="H28" s="50" t="str">
        <f>'Probability-Impact Matrix'!C7</f>
        <v>R17
4</v>
      </c>
      <c r="I28" s="47" t="str">
        <f>'Probability-Impact Matrix'!D7</f>
        <v>8</v>
      </c>
      <c r="J28" s="48" t="str">
        <f>'Probability-Impact Matrix'!E7</f>
        <v>12</v>
      </c>
      <c r="K28" s="49" t="str">
        <f>'Probability-Impact Matrix'!F7</f>
        <v>R01*
16</v>
      </c>
      <c r="L28" s="49" t="str">
        <f>'Probability-Impact Matrix'!G7</f>
        <v>20</v>
      </c>
    </row>
    <row r="29" spans="2:12" ht="66" customHeight="1" x14ac:dyDescent="0.2">
      <c r="G29" s="46" t="str">
        <f>'Probability-Impact Matrix'!B8</f>
        <v>3 - Moderate</v>
      </c>
      <c r="H29" s="50" t="str">
        <f>'Probability-Impact Matrix'!C8</f>
        <v>3</v>
      </c>
      <c r="I29" s="47" t="str">
        <f>'Probability-Impact Matrix'!D8</f>
        <v>R10  R12
6</v>
      </c>
      <c r="J29" s="47" t="str">
        <f>'Probability-Impact Matrix'!E8</f>
        <v>R05  R06
9</v>
      </c>
      <c r="K29" s="48" t="str">
        <f>'Probability-Impact Matrix'!F8</f>
        <v>R02*  R03*  R04*
12</v>
      </c>
      <c r="L29" s="48" t="str">
        <f>'Probability-Impact Matrix'!G8</f>
        <v>15</v>
      </c>
    </row>
    <row r="30" spans="2:12" ht="1" customHeight="1" x14ac:dyDescent="0.2">
      <c r="G30" s="46" t="str">
        <f>'Probability-Impact Matrix'!B9</f>
        <v>2 - Minor</v>
      </c>
      <c r="H30" s="50" t="str">
        <f>'Probability-Impact Matrix'!C9</f>
        <v>R24
2</v>
      </c>
      <c r="I30" s="50" t="str">
        <f>'Probability-Impact Matrix'!D9</f>
        <v>R18  R19  R20  R21  R22  R23
4</v>
      </c>
      <c r="J30" s="47" t="str">
        <f>'Probability-Impact Matrix'!E9</f>
        <v>R08  R09  R11  R13  R14  R15
6</v>
      </c>
      <c r="K30" s="47" t="str">
        <f>'Probability-Impact Matrix'!F9</f>
        <v>R07
8</v>
      </c>
      <c r="L30" s="48" t="str">
        <f>'Probability-Impact Matrix'!G9</f>
        <v>10</v>
      </c>
    </row>
    <row r="31" spans="2:12" ht="63" customHeight="1" x14ac:dyDescent="0.2">
      <c r="G31" s="46" t="str">
        <f>'Probability-Impact Matrix'!B10</f>
        <v>1 - Insignificant</v>
      </c>
      <c r="H31" s="50" t="str">
        <f>'Probability-Impact Matrix'!C10</f>
        <v>1</v>
      </c>
      <c r="I31" s="50" t="str">
        <f>'Probability-Impact Matrix'!D10</f>
        <v>2</v>
      </c>
      <c r="J31" s="50" t="str">
        <f>'Probability-Impact Matrix'!E10</f>
        <v>3</v>
      </c>
      <c r="K31" s="50" t="str">
        <f>'Probability-Impact Matrix'!F10</f>
        <v>4</v>
      </c>
      <c r="L31" s="47" t="str">
        <f>'Probability-Impact Matrix'!G10</f>
        <v>5</v>
      </c>
    </row>
    <row r="32" spans="2:12" x14ac:dyDescent="0.2">
      <c r="L32" s="54"/>
    </row>
    <row r="33" spans="2:12" ht="15" customHeight="1" x14ac:dyDescent="0.2">
      <c r="B33" s="35" t="s">
        <v>423</v>
      </c>
      <c r="C33" s="35"/>
      <c r="D33" s="35"/>
      <c r="E33" s="35"/>
      <c r="F33" s="35"/>
      <c r="G33" s="35"/>
      <c r="H33" s="35"/>
      <c r="I33" s="35"/>
      <c r="J33" s="35"/>
      <c r="K33" s="35"/>
      <c r="L33" s="35"/>
    </row>
    <row r="34" spans="2:12" ht="19.5" customHeight="1" x14ac:dyDescent="0.2">
      <c r="B34" s="36" t="s">
        <v>13</v>
      </c>
      <c r="C34" s="37" t="s">
        <v>14</v>
      </c>
      <c r="D34" s="37"/>
      <c r="E34" s="37"/>
      <c r="F34" s="36" t="s">
        <v>427</v>
      </c>
      <c r="G34" s="36" t="s">
        <v>15</v>
      </c>
      <c r="H34" s="36" t="s">
        <v>16</v>
      </c>
      <c r="I34" s="36" t="s">
        <v>17</v>
      </c>
      <c r="J34" s="37" t="s">
        <v>18</v>
      </c>
      <c r="K34" s="37"/>
      <c r="L34" s="37"/>
    </row>
    <row r="35" spans="2:12" ht="36" customHeight="1" x14ac:dyDescent="0.2">
      <c r="B35" s="38" t="s">
        <v>19</v>
      </c>
      <c r="C35" s="39" t="str">
        <f>'Risk Register'!C5</f>
        <v>Peak-season weather variability in India</v>
      </c>
      <c r="D35" s="39"/>
      <c r="E35" s="39"/>
      <c r="F35" s="40">
        <f>'Risk Register'!G5</f>
        <v>4</v>
      </c>
      <c r="G35" s="40">
        <f>'Risk Register'!H5</f>
        <v>4</v>
      </c>
      <c r="H35" s="40">
        <f>'Risk Register'!I5</f>
        <v>16</v>
      </c>
      <c r="I35" s="40" t="str">
        <f>'Risk Register'!J5</f>
        <v>Critical</v>
      </c>
      <c r="J35" s="39" t="str">
        <f>'Risk Register'!N5</f>
        <v>Reduce: season-contingent production and inventory plan; track the IMD seasonal outlook as a board KRI.</v>
      </c>
      <c r="K35" s="39"/>
      <c r="L35" s="39"/>
    </row>
    <row r="36" spans="2:12" ht="36" customHeight="1" x14ac:dyDescent="0.2">
      <c r="B36" s="38" t="s">
        <v>20</v>
      </c>
      <c r="C36" s="39" t="str">
        <f>'Risk Register'!C6</f>
        <v>Demerit fiscal treatment of carbonated drinks</v>
      </c>
      <c r="D36" s="39"/>
      <c r="E36" s="39"/>
      <c r="F36" s="40">
        <f>'Risk Register'!G6</f>
        <v>4</v>
      </c>
      <c r="G36" s="40">
        <f>'Risk Register'!H6</f>
        <v>3</v>
      </c>
      <c r="H36" s="40">
        <f>'Risk Register'!I6</f>
        <v>12</v>
      </c>
      <c r="I36" s="40" t="str">
        <f>'Risk Register'!J6</f>
        <v>High</v>
      </c>
      <c r="J36" s="39" t="str">
        <f>'Risk Register'!N6</f>
        <v>Reduce: accelerate the shift into lower-taxed categories; model a further rate step before pricing rounds.</v>
      </c>
      <c r="K36" s="39"/>
      <c r="L36" s="39"/>
    </row>
    <row r="37" spans="2:12" ht="36" customHeight="1" x14ac:dyDescent="0.2">
      <c r="B37" s="38" t="s">
        <v>21</v>
      </c>
      <c r="C37" s="39" t="str">
        <f>'Risk Register'!C7</f>
        <v>Competitive intensity and price disruption in India</v>
      </c>
      <c r="D37" s="39"/>
      <c r="E37" s="39"/>
      <c r="F37" s="40">
        <f>'Risk Register'!G7</f>
        <v>4</v>
      </c>
      <c r="G37" s="40">
        <f>'Risk Register'!H7</f>
        <v>3</v>
      </c>
      <c r="H37" s="40">
        <f>'Risk Register'!I7</f>
        <v>12</v>
      </c>
      <c r="I37" s="40" t="str">
        <f>'Risk Register'!J7</f>
        <v>High</v>
      </c>
      <c r="J37" s="39" t="str">
        <f>'Risk Register'!N7</f>
        <v>Reduce: defend through pack-price architecture and outlet coverage; review realisation monthly.</v>
      </c>
      <c r="K37" s="39"/>
      <c r="L37" s="39"/>
    </row>
    <row r="38" spans="2:12" ht="36" customHeight="1" x14ac:dyDescent="0.2">
      <c r="B38" s="38" t="s">
        <v>22</v>
      </c>
      <c r="C38" s="39" t="str">
        <f>'Risk Register'!C8</f>
        <v>Acquisition integration - Twizza and Bevco</v>
      </c>
      <c r="D38" s="39"/>
      <c r="E38" s="39"/>
      <c r="F38" s="40">
        <f>'Risk Register'!G8</f>
        <v>4</v>
      </c>
      <c r="G38" s="40">
        <f>'Risk Register'!H8</f>
        <v>3</v>
      </c>
      <c r="H38" s="40">
        <f>'Risk Register'!I8</f>
        <v>12</v>
      </c>
      <c r="I38" s="40" t="str">
        <f>'Risk Register'!J8</f>
        <v>High</v>
      </c>
      <c r="J38" s="39" t="str">
        <f>'Risk Register'!N8</f>
        <v>Reduce: 100-day integration plan with margin and working-capital milestones reported to the Board.</v>
      </c>
      <c r="K38" s="39"/>
      <c r="L38" s="39"/>
    </row>
    <row r="39" spans="2:12" ht="36" customHeight="1" x14ac:dyDescent="0.2">
      <c r="B39" s="38" t="s">
        <v>23</v>
      </c>
      <c r="C39" s="39" t="str">
        <f>'Risk Register'!C20</f>
        <v>PepsiCo franchise concentration and renewal terms</v>
      </c>
      <c r="D39" s="39"/>
      <c r="E39" s="39"/>
      <c r="F39" s="40">
        <f>'Risk Register'!G20</f>
        <v>1</v>
      </c>
      <c r="G39" s="40">
        <f>'Risk Register'!H20</f>
        <v>5</v>
      </c>
      <c r="H39" s="40">
        <f>'Risk Register'!I20</f>
        <v>5</v>
      </c>
      <c r="I39" s="40" t="str">
        <f>'Risk Register'!J20</f>
        <v>Medium</v>
      </c>
      <c r="J39" s="39" t="str">
        <f>'Risk Register'!N20</f>
        <v>Retain and reduce: retain as strategically necessary; widen non-PepsiCo lines at the margin.</v>
      </c>
      <c r="K39" s="39"/>
      <c r="L39" s="55"/>
    </row>
    <row r="40" spans="2:12" x14ac:dyDescent="0.2">
      <c r="L40" s="57"/>
    </row>
    <row r="41" spans="2:12" ht="15" customHeight="1" x14ac:dyDescent="0.2">
      <c r="B41" s="22" t="s">
        <v>424</v>
      </c>
      <c r="C41" s="22"/>
      <c r="D41" s="22"/>
      <c r="E41" s="22"/>
      <c r="F41" s="22"/>
      <c r="G41" s="22"/>
      <c r="H41" s="22"/>
      <c r="I41" s="22"/>
      <c r="J41" s="22"/>
      <c r="K41" s="22"/>
      <c r="L41" s="22"/>
    </row>
    <row r="42" spans="2:12" ht="27.75" customHeight="1" x14ac:dyDescent="0.2">
      <c r="B42" s="23" t="s">
        <v>24</v>
      </c>
      <c r="C42" s="23" t="s">
        <v>25</v>
      </c>
      <c r="D42" s="23" t="s">
        <v>26</v>
      </c>
      <c r="E42" s="24" t="s">
        <v>27</v>
      </c>
      <c r="F42" s="24"/>
      <c r="G42" s="23" t="s">
        <v>28</v>
      </c>
      <c r="H42" s="23" t="s">
        <v>29</v>
      </c>
      <c r="I42" s="24" t="s">
        <v>30</v>
      </c>
      <c r="J42" s="24"/>
      <c r="K42" s="24" t="s">
        <v>31</v>
      </c>
      <c r="L42" s="24"/>
    </row>
    <row r="43" spans="2:12" ht="19.5" customHeight="1" x14ac:dyDescent="0.2">
      <c r="B43" s="25" t="s">
        <v>32</v>
      </c>
      <c r="C43" s="26" t="str">
        <f>'Scenario Analysis'!C21</f>
        <v>n/a</v>
      </c>
      <c r="D43" s="27">
        <f>'Scenario Analysis'!E21</f>
        <v>1213.0999999999999</v>
      </c>
      <c r="E43" s="28">
        <f>'Scenario Analysis'!G21</f>
        <v>216853.79</v>
      </c>
      <c r="F43" s="28"/>
      <c r="G43" s="29">
        <f>'Scenario Analysis'!J21</f>
        <v>50493.690000000017</v>
      </c>
      <c r="H43" s="30">
        <f>'Scenario Analysis'!K21</f>
        <v>0.23284670284065598</v>
      </c>
      <c r="I43" s="28">
        <f>'Scenario Analysis'!M21</f>
        <v>30620.420000000006</v>
      </c>
      <c r="J43" s="28"/>
      <c r="K43" s="31" t="str">
        <f>'Scenario Analysis'!N21</f>
        <v>n/a</v>
      </c>
      <c r="L43" s="31"/>
    </row>
    <row r="44" spans="2:12" ht="19.5" customHeight="1" x14ac:dyDescent="0.2">
      <c r="B44" s="21" t="s">
        <v>33</v>
      </c>
      <c r="C44" s="26">
        <f>'Scenario Analysis'!C22</f>
        <v>0.6</v>
      </c>
      <c r="D44" s="27">
        <f>'Scenario Analysis'!E22</f>
        <v>1310.1479999999999</v>
      </c>
      <c r="E44" s="28">
        <f>'Scenario Analysis'!G22</f>
        <v>236544.11413200005</v>
      </c>
      <c r="F44" s="28"/>
      <c r="G44" s="29">
        <f>'Scenario Analysis'!J22</f>
        <v>55138.018100864021</v>
      </c>
      <c r="H44" s="30">
        <f>'Scenario Analysis'!K22</f>
        <v>0.23309824597916243</v>
      </c>
      <c r="I44" s="28">
        <f>'Scenario Analysis'!M22</f>
        <v>32981.330361569351</v>
      </c>
      <c r="J44" s="28"/>
      <c r="K44" s="32">
        <f>'Scenario Analysis'!N22</f>
        <v>7.7102481336616124E-2</v>
      </c>
      <c r="L44" s="32"/>
    </row>
    <row r="45" spans="2:12" ht="19.5" customHeight="1" x14ac:dyDescent="0.2">
      <c r="B45" s="19" t="s">
        <v>34</v>
      </c>
      <c r="C45" s="26">
        <f>'Scenario Analysis'!C23</f>
        <v>0.3</v>
      </c>
      <c r="D45" s="27">
        <f>'Scenario Analysis'!E23</f>
        <v>1237.3619999999999</v>
      </c>
      <c r="E45" s="28">
        <f>'Scenario Analysis'!G23</f>
        <v>221190.8658</v>
      </c>
      <c r="F45" s="28"/>
      <c r="G45" s="29">
        <f>'Scenario Analysis'!J23</f>
        <v>42902.780302999992</v>
      </c>
      <c r="H45" s="30">
        <f>'Scenario Analysis'!K23</f>
        <v>0.19396271246477481</v>
      </c>
      <c r="I45" s="28">
        <f>'Scenario Analysis'!M23</f>
        <v>23332.196867295752</v>
      </c>
      <c r="J45" s="28"/>
      <c r="K45" s="33">
        <f>'Scenario Analysis'!N23</f>
        <v>-0.23801839206334374</v>
      </c>
      <c r="L45" s="33"/>
    </row>
    <row r="46" spans="2:12" ht="19.5" customHeight="1" x14ac:dyDescent="0.2">
      <c r="B46" s="20" t="s">
        <v>35</v>
      </c>
      <c r="C46" s="26">
        <f>'Scenario Analysis'!C24</f>
        <v>0.1</v>
      </c>
      <c r="D46" s="27">
        <f>'Scenario Analysis'!E24</f>
        <v>1176.7069999999999</v>
      </c>
      <c r="E46" s="28">
        <f>'Scenario Analysis'!G24</f>
        <v>207192.95365550002</v>
      </c>
      <c r="F46" s="28"/>
      <c r="G46" s="29">
        <f>'Scenario Analysis'!J24</f>
        <v>32998.06110086001</v>
      </c>
      <c r="H46" s="30">
        <f>'Scenario Analysis'!K24</f>
        <v>0.15926246775614739</v>
      </c>
      <c r="I46" s="28">
        <f>'Scenario Analysis'!M24</f>
        <v>15386.440233506675</v>
      </c>
      <c r="J46" s="28"/>
      <c r="K46" s="34">
        <f>'Scenario Analysis'!N24</f>
        <v>-0.49751047720747554</v>
      </c>
      <c r="L46" s="56"/>
    </row>
    <row r="47" spans="2:12" x14ac:dyDescent="0.2">
      <c r="L47" s="57"/>
    </row>
    <row r="48" spans="2:12" x14ac:dyDescent="0.2">
      <c r="L48" s="54"/>
    </row>
    <row r="49" spans="2:12" ht="15" customHeight="1" x14ac:dyDescent="0.2">
      <c r="B49" s="41" t="s">
        <v>36</v>
      </c>
      <c r="C49" s="41"/>
      <c r="D49" s="41"/>
      <c r="E49" s="41"/>
      <c r="F49" s="41"/>
      <c r="G49" s="41"/>
      <c r="H49" s="41"/>
      <c r="I49" s="41"/>
      <c r="J49" s="41"/>
      <c r="K49" s="41"/>
      <c r="L49" s="41"/>
    </row>
    <row r="50" spans="2:12" ht="15" customHeight="1" x14ac:dyDescent="0.2">
      <c r="B50" s="14" t="s">
        <v>14</v>
      </c>
      <c r="C50" s="15" t="s">
        <v>37</v>
      </c>
      <c r="D50" s="15"/>
      <c r="E50" s="15"/>
      <c r="F50" s="15" t="s">
        <v>38</v>
      </c>
      <c r="G50" s="15"/>
      <c r="H50" s="14" t="s">
        <v>39</v>
      </c>
      <c r="I50" s="15" t="s">
        <v>40</v>
      </c>
      <c r="J50" s="15"/>
      <c r="K50" s="15"/>
      <c r="L50" s="15"/>
    </row>
    <row r="51" spans="2:12" ht="19.5" customHeight="1" x14ac:dyDescent="0.2">
      <c r="B51" s="16" t="s">
        <v>41</v>
      </c>
      <c r="C51" s="17" t="s">
        <v>42</v>
      </c>
      <c r="D51" s="17"/>
      <c r="E51" s="17"/>
      <c r="F51" s="18" t="s">
        <v>43</v>
      </c>
      <c r="G51" s="18"/>
      <c r="H51" s="19" t="s">
        <v>44</v>
      </c>
      <c r="I51" s="17" t="s">
        <v>45</v>
      </c>
      <c r="J51" s="17"/>
      <c r="K51" s="17"/>
      <c r="L51" s="17"/>
    </row>
    <row r="52" spans="2:12" ht="19.5" customHeight="1" x14ac:dyDescent="0.2">
      <c r="B52" s="16" t="s">
        <v>46</v>
      </c>
      <c r="C52" s="17" t="s">
        <v>47</v>
      </c>
      <c r="D52" s="17"/>
      <c r="E52" s="17"/>
      <c r="F52" s="18" t="s">
        <v>48</v>
      </c>
      <c r="G52" s="18"/>
      <c r="H52" s="20" t="s">
        <v>49</v>
      </c>
      <c r="I52" s="17" t="s">
        <v>50</v>
      </c>
      <c r="J52" s="17"/>
      <c r="K52" s="17"/>
      <c r="L52" s="17"/>
    </row>
    <row r="53" spans="2:12" ht="19.5" customHeight="1" x14ac:dyDescent="0.2">
      <c r="B53" s="16" t="s">
        <v>51</v>
      </c>
      <c r="C53" s="17" t="s">
        <v>52</v>
      </c>
      <c r="D53" s="17"/>
      <c r="E53" s="17"/>
      <c r="F53" s="18" t="s">
        <v>53</v>
      </c>
      <c r="G53" s="18"/>
      <c r="H53" s="19" t="s">
        <v>44</v>
      </c>
      <c r="I53" s="17" t="s">
        <v>54</v>
      </c>
      <c r="J53" s="17"/>
      <c r="K53" s="17"/>
      <c r="L53" s="17"/>
    </row>
    <row r="54" spans="2:12" ht="19.5" customHeight="1" x14ac:dyDescent="0.2">
      <c r="B54" s="16" t="s">
        <v>55</v>
      </c>
      <c r="C54" s="17" t="s">
        <v>56</v>
      </c>
      <c r="D54" s="17"/>
      <c r="E54" s="17"/>
      <c r="F54" s="18" t="s">
        <v>57</v>
      </c>
      <c r="G54" s="18"/>
      <c r="H54" s="19" t="s">
        <v>44</v>
      </c>
      <c r="I54" s="17" t="s">
        <v>58</v>
      </c>
      <c r="J54" s="17"/>
      <c r="K54" s="17"/>
      <c r="L54" s="17"/>
    </row>
    <row r="55" spans="2:12" ht="19.5" customHeight="1" x14ac:dyDescent="0.2">
      <c r="B55" s="16" t="s">
        <v>59</v>
      </c>
      <c r="C55" s="17" t="s">
        <v>60</v>
      </c>
      <c r="D55" s="17"/>
      <c r="E55" s="17"/>
      <c r="F55" s="18" t="s">
        <v>61</v>
      </c>
      <c r="G55" s="18"/>
      <c r="H55" s="21" t="s">
        <v>62</v>
      </c>
      <c r="I55" s="17" t="s">
        <v>63</v>
      </c>
      <c r="J55" s="17"/>
      <c r="K55" s="17"/>
      <c r="L55" s="17"/>
    </row>
    <row r="56" spans="2:12" ht="19.5" customHeight="1" x14ac:dyDescent="0.2">
      <c r="B56" s="16" t="s">
        <v>64</v>
      </c>
      <c r="C56" s="17" t="s">
        <v>65</v>
      </c>
      <c r="D56" s="17"/>
      <c r="E56" s="17"/>
      <c r="F56" s="18" t="s">
        <v>66</v>
      </c>
      <c r="G56" s="18"/>
      <c r="H56" s="19" t="s">
        <v>44</v>
      </c>
      <c r="I56" s="17" t="s">
        <v>67</v>
      </c>
      <c r="J56" s="17"/>
      <c r="K56" s="17"/>
      <c r="L56" s="17"/>
    </row>
    <row r="58" spans="2:12" ht="12.75" customHeight="1" x14ac:dyDescent="0.2">
      <c r="B58" s="42" t="s">
        <v>68</v>
      </c>
      <c r="C58" s="43"/>
      <c r="D58" s="43"/>
      <c r="E58" s="43"/>
      <c r="F58" s="43"/>
      <c r="G58" s="43"/>
      <c r="H58" s="43"/>
      <c r="I58" s="43"/>
      <c r="J58" s="43"/>
      <c r="K58" s="43"/>
      <c r="L58" s="43"/>
    </row>
    <row r="59" spans="2:12" ht="12.75" customHeight="1" x14ac:dyDescent="0.2">
      <c r="B59" s="43"/>
      <c r="C59" s="43"/>
      <c r="D59" s="43"/>
      <c r="E59" s="43"/>
      <c r="F59" s="43"/>
      <c r="G59" s="43"/>
      <c r="H59" s="43"/>
      <c r="I59" s="43"/>
      <c r="J59" s="43"/>
      <c r="K59" s="43"/>
      <c r="L59" s="43"/>
    </row>
    <row r="60" spans="2:12" ht="12.75" customHeight="1" x14ac:dyDescent="0.2">
      <c r="B60" s="43"/>
      <c r="C60" s="43"/>
      <c r="D60" s="43"/>
      <c r="E60" s="43"/>
      <c r="F60" s="43"/>
      <c r="G60" s="43"/>
      <c r="H60" s="43"/>
      <c r="I60" s="43"/>
      <c r="J60" s="43"/>
      <c r="K60" s="43"/>
      <c r="L60" s="43"/>
    </row>
    <row r="61" spans="2:12" ht="12.75" customHeight="1" x14ac:dyDescent="0.2">
      <c r="B61" s="43"/>
      <c r="C61" s="43"/>
      <c r="D61" s="43"/>
      <c r="E61" s="43"/>
      <c r="F61" s="43"/>
      <c r="G61" s="43"/>
      <c r="H61" s="43"/>
      <c r="I61" s="43"/>
      <c r="J61" s="43"/>
      <c r="K61" s="43"/>
      <c r="L61" s="43"/>
    </row>
    <row r="62" spans="2:12" ht="12.75" customHeight="1" x14ac:dyDescent="0.2">
      <c r="B62" s="59"/>
      <c r="C62" s="59"/>
      <c r="D62" s="58"/>
      <c r="E62" s="58"/>
      <c r="F62" s="58"/>
      <c r="G62" s="58"/>
      <c r="H62" s="58"/>
      <c r="I62" s="58"/>
      <c r="J62" s="58"/>
      <c r="K62" s="58"/>
      <c r="L62" s="58"/>
    </row>
    <row r="63" spans="2:12" ht="24" x14ac:dyDescent="0.2">
      <c r="B63" s="60" t="s">
        <v>425</v>
      </c>
      <c r="C63" s="60" t="s">
        <v>426</v>
      </c>
      <c r="D63" s="58"/>
      <c r="E63" s="58"/>
      <c r="F63" s="58"/>
      <c r="G63" s="58"/>
      <c r="H63" s="58"/>
      <c r="I63" s="58"/>
      <c r="J63" s="58"/>
      <c r="K63" s="58"/>
      <c r="L63" s="58"/>
    </row>
    <row r="64" spans="2:12" ht="15" customHeight="1" x14ac:dyDescent="0.2">
      <c r="B64" s="63" t="s">
        <v>69</v>
      </c>
      <c r="C64" s="62">
        <f>COUNTIF('Risk Register'!$J$5:$J$28,B64)</f>
        <v>8</v>
      </c>
    </row>
    <row r="65" spans="2:6" ht="15" customHeight="1" x14ac:dyDescent="0.2">
      <c r="B65" s="63" t="s">
        <v>70</v>
      </c>
      <c r="C65" s="62">
        <f>COUNTIF('Risk Register'!$J$5:$J$28,B65)</f>
        <v>12</v>
      </c>
    </row>
    <row r="66" spans="2:6" ht="15" customHeight="1" x14ac:dyDescent="0.2">
      <c r="B66" s="61" t="s">
        <v>71</v>
      </c>
      <c r="C66" s="62">
        <f>COUNTIF('Risk Register'!$J$5:$J$28,B66)</f>
        <v>3</v>
      </c>
    </row>
    <row r="67" spans="2:6" ht="15" customHeight="1" x14ac:dyDescent="0.2">
      <c r="B67" s="61" t="s">
        <v>72</v>
      </c>
      <c r="C67" s="62">
        <f>COUNTIF('Risk Register'!$J$5:$J$28,B67)</f>
        <v>1</v>
      </c>
    </row>
    <row r="69" spans="2:6" ht="15" customHeight="1" x14ac:dyDescent="0.2">
      <c r="B69" s="64" t="s">
        <v>73</v>
      </c>
      <c r="C69" s="65" t="s">
        <v>69</v>
      </c>
      <c r="D69" s="65" t="s">
        <v>70</v>
      </c>
      <c r="E69" s="65" t="s">
        <v>71</v>
      </c>
      <c r="F69" s="65" t="s">
        <v>72</v>
      </c>
    </row>
    <row r="70" spans="2:6" ht="15" customHeight="1" x14ac:dyDescent="0.2">
      <c r="B70" s="64" t="s">
        <v>74</v>
      </c>
      <c r="C70" s="65">
        <f>COUNTIFS('Risk Register'!$B$5:$B$28,$B70,'Risk Register'!$J$5:$J$28,C$69)</f>
        <v>0</v>
      </c>
      <c r="D70" s="65">
        <f>COUNTIFS('Risk Register'!$B$5:$B$28,$B70,'Risk Register'!$J$5:$J$28,D$69)</f>
        <v>6</v>
      </c>
      <c r="E70" s="65">
        <f>COUNTIFS('Risk Register'!$B$5:$B$28,$B70,'Risk Register'!$J$5:$J$28,E$69)</f>
        <v>1</v>
      </c>
      <c r="F70" s="65">
        <f>COUNTIFS('Risk Register'!$B$5:$B$28,$B70,'Risk Register'!$J$5:$J$28,F$69)</f>
        <v>0</v>
      </c>
    </row>
    <row r="71" spans="2:6" ht="15" customHeight="1" x14ac:dyDescent="0.2">
      <c r="B71" s="64" t="s">
        <v>75</v>
      </c>
      <c r="C71" s="65">
        <f>COUNTIFS('Risk Register'!$B$5:$B$28,$B71,'Risk Register'!$J$5:$J$28,C$69)</f>
        <v>4</v>
      </c>
      <c r="D71" s="65">
        <f>COUNTIFS('Risk Register'!$B$5:$B$28,$B71,'Risk Register'!$J$5:$J$28,D$69)</f>
        <v>2</v>
      </c>
      <c r="E71" s="65">
        <f>COUNTIFS('Risk Register'!$B$5:$B$28,$B71,'Risk Register'!$J$5:$J$28,E$69)</f>
        <v>0</v>
      </c>
      <c r="F71" s="65">
        <f>COUNTIFS('Risk Register'!$B$5:$B$28,$B71,'Risk Register'!$J$5:$J$28,F$69)</f>
        <v>0</v>
      </c>
    </row>
    <row r="72" spans="2:6" ht="15" customHeight="1" x14ac:dyDescent="0.2">
      <c r="B72" s="64" t="s">
        <v>76</v>
      </c>
      <c r="C72" s="65">
        <f>COUNTIFS('Risk Register'!$B$5:$B$28,$B72,'Risk Register'!$J$5:$J$28,C$69)</f>
        <v>2</v>
      </c>
      <c r="D72" s="65">
        <f>COUNTIFS('Risk Register'!$B$5:$B$28,$B72,'Risk Register'!$J$5:$J$28,D$69)</f>
        <v>2</v>
      </c>
      <c r="E72" s="65">
        <f>COUNTIFS('Risk Register'!$B$5:$B$28,$B72,'Risk Register'!$J$5:$J$28,E$69)</f>
        <v>1</v>
      </c>
      <c r="F72" s="65">
        <f>COUNTIFS('Risk Register'!$B$5:$B$28,$B72,'Risk Register'!$J$5:$J$28,F$69)</f>
        <v>0</v>
      </c>
    </row>
    <row r="73" spans="2:6" ht="15" customHeight="1" x14ac:dyDescent="0.2">
      <c r="B73" s="64" t="s">
        <v>77</v>
      </c>
      <c r="C73" s="65">
        <f>COUNTIFS('Risk Register'!$B$5:$B$28,$B73,'Risk Register'!$J$5:$J$28,C$69)</f>
        <v>0</v>
      </c>
      <c r="D73" s="65">
        <f>COUNTIFS('Risk Register'!$B$5:$B$28,$B73,'Risk Register'!$J$5:$J$28,D$69)</f>
        <v>2</v>
      </c>
      <c r="E73" s="65">
        <f>COUNTIFS('Risk Register'!$B$5:$B$28,$B73,'Risk Register'!$J$5:$J$28,E$69)</f>
        <v>1</v>
      </c>
      <c r="F73" s="65">
        <f>COUNTIFS('Risk Register'!$B$5:$B$28,$B73,'Risk Register'!$J$5:$J$28,F$69)</f>
        <v>0</v>
      </c>
    </row>
    <row r="74" spans="2:6" ht="15" customHeight="1" x14ac:dyDescent="0.2">
      <c r="B74" s="64" t="s">
        <v>78</v>
      </c>
      <c r="C74" s="65">
        <f>COUNTIFS('Risk Register'!$B$5:$B$28,$B74,'Risk Register'!$J$5:$J$28,C$69)</f>
        <v>2</v>
      </c>
      <c r="D74" s="65">
        <f>COUNTIFS('Risk Register'!$B$5:$B$28,$B74,'Risk Register'!$J$5:$J$28,D$69)</f>
        <v>0</v>
      </c>
      <c r="E74" s="65">
        <f>COUNTIFS('Risk Register'!$B$5:$B$28,$B74,'Risk Register'!$J$5:$J$28,E$69)</f>
        <v>0</v>
      </c>
      <c r="F74" s="65">
        <f>COUNTIFS('Risk Register'!$B$5:$B$28,$B74,'Risk Register'!$J$5:$J$28,F$69)</f>
        <v>1</v>
      </c>
    </row>
    <row r="76" spans="2:6" ht="15" customHeight="1" x14ac:dyDescent="0.2">
      <c r="B76" s="61" t="s">
        <v>73</v>
      </c>
      <c r="C76" s="62" t="s">
        <v>79</v>
      </c>
    </row>
    <row r="77" spans="2:6" ht="15" customHeight="1" x14ac:dyDescent="0.2">
      <c r="B77" s="61" t="s">
        <v>74</v>
      </c>
      <c r="C77" s="62">
        <f>SUMIF('Risk Register'!$B$5:$B$28,$B77,'Risk Register'!$I$5:$I$28)</f>
        <v>52</v>
      </c>
    </row>
    <row r="78" spans="2:6" ht="15" customHeight="1" x14ac:dyDescent="0.2">
      <c r="B78" s="61" t="s">
        <v>75</v>
      </c>
      <c r="C78" s="62">
        <f>SUMIF('Risk Register'!$B$5:$B$28,$B78,'Risk Register'!$I$5:$I$28)</f>
        <v>28</v>
      </c>
    </row>
    <row r="79" spans="2:6" ht="15" customHeight="1" x14ac:dyDescent="0.2">
      <c r="B79" s="61" t="s">
        <v>76</v>
      </c>
      <c r="C79" s="62">
        <f>SUMIF('Risk Register'!$B$5:$B$28,$B79,'Risk Register'!$I$5:$I$28)</f>
        <v>33</v>
      </c>
    </row>
    <row r="80" spans="2:6" ht="15" customHeight="1" x14ac:dyDescent="0.2">
      <c r="B80" s="61" t="s">
        <v>77</v>
      </c>
      <c r="C80" s="62">
        <f>SUMIF('Risk Register'!$B$5:$B$28,$B80,'Risk Register'!$I$5:$I$28)</f>
        <v>24</v>
      </c>
    </row>
    <row r="81" spans="2:3" ht="15" customHeight="1" x14ac:dyDescent="0.2">
      <c r="B81" s="61" t="s">
        <v>78</v>
      </c>
      <c r="C81" s="62">
        <f>SUMIF('Risk Register'!$B$5:$B$28,$B81,'Risk Register'!$I$5:$I$28)</f>
        <v>24</v>
      </c>
    </row>
  </sheetData>
  <mergeCells count="73">
    <mergeCell ref="B2:L2"/>
    <mergeCell ref="B3:L3"/>
    <mergeCell ref="B5:C5"/>
    <mergeCell ref="D5:E5"/>
    <mergeCell ref="F5:G5"/>
    <mergeCell ref="H5:I5"/>
    <mergeCell ref="J5:L5"/>
    <mergeCell ref="B6:C6"/>
    <mergeCell ref="D6:E6"/>
    <mergeCell ref="F6:G6"/>
    <mergeCell ref="H6:I6"/>
    <mergeCell ref="J6:L6"/>
    <mergeCell ref="B7:C7"/>
    <mergeCell ref="D7:E7"/>
    <mergeCell ref="F7:G7"/>
    <mergeCell ref="H7:I7"/>
    <mergeCell ref="J7:L7"/>
    <mergeCell ref="G9:L9"/>
    <mergeCell ref="G25:L25"/>
    <mergeCell ref="B33:L33"/>
    <mergeCell ref="B9:E9"/>
    <mergeCell ref="B25:E25"/>
    <mergeCell ref="C34:E34"/>
    <mergeCell ref="J34:L34"/>
    <mergeCell ref="C35:E35"/>
    <mergeCell ref="J35:L35"/>
    <mergeCell ref="C36:E36"/>
    <mergeCell ref="J36:L36"/>
    <mergeCell ref="C37:E37"/>
    <mergeCell ref="J37:L37"/>
    <mergeCell ref="C38:E38"/>
    <mergeCell ref="J38:L38"/>
    <mergeCell ref="C39:E39"/>
    <mergeCell ref="J39:L39"/>
    <mergeCell ref="B41:L41"/>
    <mergeCell ref="E42:F42"/>
    <mergeCell ref="I42:J42"/>
    <mergeCell ref="K42:L42"/>
    <mergeCell ref="E43:F43"/>
    <mergeCell ref="I43:J43"/>
    <mergeCell ref="K43:L43"/>
    <mergeCell ref="E44:F44"/>
    <mergeCell ref="I44:J44"/>
    <mergeCell ref="K44:L44"/>
    <mergeCell ref="E45:F45"/>
    <mergeCell ref="I45:J45"/>
    <mergeCell ref="K45:L45"/>
    <mergeCell ref="E46:F46"/>
    <mergeCell ref="I46:J46"/>
    <mergeCell ref="K46:L46"/>
    <mergeCell ref="B49:L49"/>
    <mergeCell ref="C50:E50"/>
    <mergeCell ref="F50:G50"/>
    <mergeCell ref="I50:L50"/>
    <mergeCell ref="C51:E51"/>
    <mergeCell ref="F51:G51"/>
    <mergeCell ref="I51:L51"/>
    <mergeCell ref="C52:E52"/>
    <mergeCell ref="F52:G52"/>
    <mergeCell ref="I52:L52"/>
    <mergeCell ref="C53:E53"/>
    <mergeCell ref="F53:G53"/>
    <mergeCell ref="I53:L53"/>
    <mergeCell ref="C54:E54"/>
    <mergeCell ref="F54:G54"/>
    <mergeCell ref="I54:L54"/>
    <mergeCell ref="B58:L61"/>
    <mergeCell ref="C55:E55"/>
    <mergeCell ref="F55:G55"/>
    <mergeCell ref="I55:L55"/>
    <mergeCell ref="C56:E56"/>
    <mergeCell ref="F56:G56"/>
    <mergeCell ref="I56:L56"/>
  </mergeCells>
  <conditionalFormatting sqref="I35:I39">
    <cfRule type="expression" dxfId="11" priority="2">
      <formula>$I35="Low"</formula>
    </cfRule>
    <cfRule type="expression" dxfId="10" priority="3">
      <formula>$I35="Medium"</formula>
    </cfRule>
    <cfRule type="expression" dxfId="9" priority="4">
      <formula>$I35="High"</formula>
    </cfRule>
    <cfRule type="expression" dxfId="8" priority="5">
      <formula>$I35="Critical"</formula>
    </cfRule>
  </conditionalFormatting>
  <pageMargins left="0.75" right="0.75" top="1" bottom="1" header="0.511811023622047" footer="0.511811023622047"/>
  <pageSetup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8"/>
  <sheetViews>
    <sheetView showGridLines="0" zoomScale="64" zoomScaleNormal="100" workbookViewId="0">
      <pane xSplit="4" ySplit="4" topLeftCell="I5" activePane="bottomRight" state="frozen"/>
      <selection activeCell="N16" sqref="N16"/>
      <selection pane="topRight" activeCell="N16" sqref="N16"/>
      <selection pane="bottomLeft" activeCell="N16" sqref="N16"/>
      <selection pane="bottomRight" activeCell="R17" sqref="R17"/>
    </sheetView>
  </sheetViews>
  <sheetFormatPr baseColWidth="10" defaultColWidth="8.6640625" defaultRowHeight="15" x14ac:dyDescent="0.2"/>
  <cols>
    <col min="1" max="1" width="8" customWidth="1"/>
    <col min="2" max="2" width="40.83203125" customWidth="1"/>
    <col min="3" max="3" width="44" customWidth="1"/>
    <col min="4" max="4" width="68.33203125" customWidth="1"/>
    <col min="5" max="5" width="14" customWidth="1"/>
    <col min="6" max="6" width="12" customWidth="1"/>
    <col min="7" max="8" width="10" customWidth="1"/>
    <col min="9" max="9" width="9" customWidth="1"/>
    <col min="10" max="10" width="11" customWidth="1"/>
    <col min="11" max="11" width="10" customWidth="1"/>
    <col min="12" max="14" width="54" customWidth="1"/>
  </cols>
  <sheetData>
    <row r="1" spans="1:14" ht="25.5" customHeight="1" x14ac:dyDescent="0.2">
      <c r="A1" s="68" t="s">
        <v>428</v>
      </c>
      <c r="B1" s="68"/>
      <c r="C1" s="68"/>
      <c r="D1" s="68"/>
      <c r="E1" s="68"/>
      <c r="F1" s="68"/>
      <c r="G1" s="68"/>
      <c r="H1" s="68"/>
      <c r="I1" s="68"/>
      <c r="J1" s="68"/>
      <c r="K1" s="68"/>
      <c r="L1" s="68"/>
      <c r="M1" s="68"/>
      <c r="N1" s="68"/>
    </row>
    <row r="2" spans="1:14" ht="15.75" customHeight="1" x14ac:dyDescent="0.2">
      <c r="A2" s="68"/>
      <c r="B2" s="68"/>
      <c r="C2" s="68"/>
      <c r="D2" s="68"/>
      <c r="E2" s="68"/>
      <c r="F2" s="68"/>
      <c r="G2" s="68"/>
      <c r="H2" s="68"/>
      <c r="I2" s="68"/>
      <c r="J2" s="68"/>
      <c r="K2" s="68"/>
      <c r="L2" s="68"/>
      <c r="M2" s="68"/>
      <c r="N2" s="68"/>
    </row>
    <row r="3" spans="1:14" ht="6" customHeight="1" x14ac:dyDescent="0.2"/>
    <row r="4" spans="1:14" ht="30" customHeight="1" x14ac:dyDescent="0.2">
      <c r="A4" s="72" t="s">
        <v>80</v>
      </c>
      <c r="B4" s="72" t="s">
        <v>81</v>
      </c>
      <c r="C4" s="72" t="s">
        <v>14</v>
      </c>
      <c r="D4" s="72" t="s">
        <v>82</v>
      </c>
      <c r="E4" s="72" t="s">
        <v>25</v>
      </c>
      <c r="F4" s="72" t="s">
        <v>15</v>
      </c>
      <c r="G4" s="72" t="s">
        <v>83</v>
      </c>
      <c r="H4" s="72" t="s">
        <v>84</v>
      </c>
      <c r="I4" s="72" t="s">
        <v>85</v>
      </c>
      <c r="J4" s="72" t="s">
        <v>86</v>
      </c>
      <c r="K4" s="72" t="s">
        <v>87</v>
      </c>
      <c r="L4" s="72" t="s">
        <v>88</v>
      </c>
      <c r="M4" s="72" t="s">
        <v>89</v>
      </c>
      <c r="N4" s="72" t="s">
        <v>90</v>
      </c>
    </row>
    <row r="5" spans="1:14" ht="33.75" customHeight="1" x14ac:dyDescent="0.2">
      <c r="A5" s="73" t="s">
        <v>41</v>
      </c>
      <c r="B5" s="74" t="s">
        <v>78</v>
      </c>
      <c r="C5" s="75" t="s">
        <v>91</v>
      </c>
      <c r="D5" s="76" t="s">
        <v>92</v>
      </c>
      <c r="E5" s="76" t="s">
        <v>71</v>
      </c>
      <c r="F5" s="76" t="s">
        <v>93</v>
      </c>
      <c r="G5" s="76">
        <f t="shared" ref="G5:G28" si="0">VLOOKUP(E5,$B$33:$E$37,4,0)</f>
        <v>4</v>
      </c>
      <c r="H5" s="76">
        <f t="shared" ref="H5:H28" si="1">VLOOKUP(F5,$B$41:$E$45,4,0)</f>
        <v>4</v>
      </c>
      <c r="I5" s="76">
        <f t="shared" ref="I5:I28" si="2">G5*H5</f>
        <v>16</v>
      </c>
      <c r="J5" s="76" t="str">
        <f t="shared" ref="J5:J28" si="3">VLOOKUP(I5,$B$49:$D$52,2,TRUE())</f>
        <v>Critical</v>
      </c>
      <c r="K5" s="73">
        <v>1</v>
      </c>
      <c r="L5" s="74" t="s">
        <v>94</v>
      </c>
      <c r="M5" s="74" t="s">
        <v>95</v>
      </c>
      <c r="N5" s="74" t="s">
        <v>96</v>
      </c>
    </row>
    <row r="6" spans="1:14" ht="33.75" customHeight="1" x14ac:dyDescent="0.2">
      <c r="A6" s="73" t="s">
        <v>51</v>
      </c>
      <c r="B6" s="74" t="s">
        <v>77</v>
      </c>
      <c r="C6" s="75" t="s">
        <v>97</v>
      </c>
      <c r="D6" s="76" t="s">
        <v>92</v>
      </c>
      <c r="E6" s="76" t="s">
        <v>71</v>
      </c>
      <c r="F6" s="76" t="s">
        <v>98</v>
      </c>
      <c r="G6" s="76">
        <f t="shared" si="0"/>
        <v>4</v>
      </c>
      <c r="H6" s="76">
        <f t="shared" si="1"/>
        <v>3</v>
      </c>
      <c r="I6" s="76">
        <f t="shared" si="2"/>
        <v>12</v>
      </c>
      <c r="J6" s="76" t="str">
        <f t="shared" si="3"/>
        <v>High</v>
      </c>
      <c r="K6" s="73">
        <v>2</v>
      </c>
      <c r="L6" s="74" t="s">
        <v>99</v>
      </c>
      <c r="M6" s="74" t="s">
        <v>100</v>
      </c>
      <c r="N6" s="74" t="s">
        <v>101</v>
      </c>
    </row>
    <row r="7" spans="1:14" ht="33.75" customHeight="1" x14ac:dyDescent="0.2">
      <c r="A7" s="73" t="s">
        <v>46</v>
      </c>
      <c r="B7" s="74" t="s">
        <v>76</v>
      </c>
      <c r="C7" s="75" t="s">
        <v>102</v>
      </c>
      <c r="D7" s="76" t="s">
        <v>92</v>
      </c>
      <c r="E7" s="76" t="s">
        <v>71</v>
      </c>
      <c r="F7" s="76" t="s">
        <v>98</v>
      </c>
      <c r="G7" s="76">
        <f t="shared" si="0"/>
        <v>4</v>
      </c>
      <c r="H7" s="76">
        <f t="shared" si="1"/>
        <v>3</v>
      </c>
      <c r="I7" s="76">
        <f t="shared" si="2"/>
        <v>12</v>
      </c>
      <c r="J7" s="76" t="str">
        <f t="shared" si="3"/>
        <v>High</v>
      </c>
      <c r="K7" s="73">
        <v>3</v>
      </c>
      <c r="L7" s="74" t="s">
        <v>103</v>
      </c>
      <c r="M7" s="74" t="s">
        <v>104</v>
      </c>
      <c r="N7" s="74" t="s">
        <v>105</v>
      </c>
    </row>
    <row r="8" spans="1:14" ht="33.75" customHeight="1" x14ac:dyDescent="0.2">
      <c r="A8" s="73" t="s">
        <v>55</v>
      </c>
      <c r="B8" s="74" t="s">
        <v>74</v>
      </c>
      <c r="C8" s="75" t="s">
        <v>106</v>
      </c>
      <c r="D8" s="76" t="s">
        <v>107</v>
      </c>
      <c r="E8" s="76" t="s">
        <v>71</v>
      </c>
      <c r="F8" s="76" t="s">
        <v>98</v>
      </c>
      <c r="G8" s="76">
        <f t="shared" si="0"/>
        <v>4</v>
      </c>
      <c r="H8" s="76">
        <f t="shared" si="1"/>
        <v>3</v>
      </c>
      <c r="I8" s="76">
        <f t="shared" si="2"/>
        <v>12</v>
      </c>
      <c r="J8" s="76" t="str">
        <f t="shared" si="3"/>
        <v>High</v>
      </c>
      <c r="K8" s="73">
        <v>4</v>
      </c>
      <c r="L8" s="74" t="s">
        <v>108</v>
      </c>
      <c r="M8" s="74" t="s">
        <v>109</v>
      </c>
      <c r="N8" s="74" t="s">
        <v>110</v>
      </c>
    </row>
    <row r="9" spans="1:14" ht="33.75" customHeight="1" x14ac:dyDescent="0.2">
      <c r="A9" s="77" t="s">
        <v>59</v>
      </c>
      <c r="B9" s="78" t="s">
        <v>76</v>
      </c>
      <c r="C9" s="78" t="s">
        <v>111</v>
      </c>
      <c r="D9" s="77" t="s">
        <v>92</v>
      </c>
      <c r="E9" s="77" t="s">
        <v>70</v>
      </c>
      <c r="F9" s="77" t="s">
        <v>98</v>
      </c>
      <c r="G9" s="77">
        <f t="shared" si="0"/>
        <v>3</v>
      </c>
      <c r="H9" s="77">
        <f t="shared" si="1"/>
        <v>3</v>
      </c>
      <c r="I9" s="77">
        <f t="shared" si="2"/>
        <v>9</v>
      </c>
      <c r="J9" s="77" t="str">
        <f t="shared" si="3"/>
        <v>Medium</v>
      </c>
      <c r="K9" s="79"/>
      <c r="L9" s="78" t="s">
        <v>112</v>
      </c>
      <c r="M9" s="78" t="s">
        <v>113</v>
      </c>
      <c r="N9" s="78" t="s">
        <v>114</v>
      </c>
    </row>
    <row r="10" spans="1:14" ht="33.75" customHeight="1" x14ac:dyDescent="0.2">
      <c r="A10" s="77" t="s">
        <v>115</v>
      </c>
      <c r="B10" s="78" t="s">
        <v>74</v>
      </c>
      <c r="C10" s="78" t="s">
        <v>116</v>
      </c>
      <c r="D10" s="77" t="s">
        <v>107</v>
      </c>
      <c r="E10" s="77" t="s">
        <v>70</v>
      </c>
      <c r="F10" s="77" t="s">
        <v>98</v>
      </c>
      <c r="G10" s="77">
        <f t="shared" si="0"/>
        <v>3</v>
      </c>
      <c r="H10" s="77">
        <f t="shared" si="1"/>
        <v>3</v>
      </c>
      <c r="I10" s="77">
        <f t="shared" si="2"/>
        <v>9</v>
      </c>
      <c r="J10" s="77" t="str">
        <f t="shared" si="3"/>
        <v>Medium</v>
      </c>
      <c r="K10" s="79"/>
      <c r="L10" s="78" t="s">
        <v>117</v>
      </c>
      <c r="M10" s="78" t="s">
        <v>118</v>
      </c>
      <c r="N10" s="78" t="s">
        <v>119</v>
      </c>
    </row>
    <row r="11" spans="1:14" ht="33.75" customHeight="1" x14ac:dyDescent="0.2">
      <c r="A11" s="77" t="s">
        <v>120</v>
      </c>
      <c r="B11" s="78" t="s">
        <v>74</v>
      </c>
      <c r="C11" s="78" t="s">
        <v>121</v>
      </c>
      <c r="D11" s="77" t="s">
        <v>92</v>
      </c>
      <c r="E11" s="77" t="s">
        <v>71</v>
      </c>
      <c r="F11" s="77" t="s">
        <v>122</v>
      </c>
      <c r="G11" s="77">
        <f t="shared" si="0"/>
        <v>4</v>
      </c>
      <c r="H11" s="77">
        <f t="shared" si="1"/>
        <v>2</v>
      </c>
      <c r="I11" s="77">
        <f t="shared" si="2"/>
        <v>8</v>
      </c>
      <c r="J11" s="77" t="str">
        <f t="shared" si="3"/>
        <v>Medium</v>
      </c>
      <c r="K11" s="79"/>
      <c r="L11" s="78" t="s">
        <v>123</v>
      </c>
      <c r="M11" s="78" t="s">
        <v>124</v>
      </c>
      <c r="N11" s="78" t="s">
        <v>125</v>
      </c>
    </row>
    <row r="12" spans="1:14" ht="33.75" customHeight="1" x14ac:dyDescent="0.2">
      <c r="A12" s="77" t="s">
        <v>126</v>
      </c>
      <c r="B12" s="78" t="s">
        <v>74</v>
      </c>
      <c r="C12" s="78" t="s">
        <v>127</v>
      </c>
      <c r="D12" s="77" t="s">
        <v>107</v>
      </c>
      <c r="E12" s="77" t="s">
        <v>70</v>
      </c>
      <c r="F12" s="77" t="s">
        <v>122</v>
      </c>
      <c r="G12" s="77">
        <f t="shared" si="0"/>
        <v>3</v>
      </c>
      <c r="H12" s="77">
        <f t="shared" si="1"/>
        <v>2</v>
      </c>
      <c r="I12" s="77">
        <f t="shared" si="2"/>
        <v>6</v>
      </c>
      <c r="J12" s="77" t="str">
        <f t="shared" si="3"/>
        <v>Medium</v>
      </c>
      <c r="K12" s="79"/>
      <c r="L12" s="78" t="s">
        <v>128</v>
      </c>
      <c r="M12" s="78" t="s">
        <v>129</v>
      </c>
      <c r="N12" s="78" t="s">
        <v>130</v>
      </c>
    </row>
    <row r="13" spans="1:14" ht="33.75" customHeight="1" x14ac:dyDescent="0.2">
      <c r="A13" s="77" t="s">
        <v>131</v>
      </c>
      <c r="B13" s="78" t="s">
        <v>74</v>
      </c>
      <c r="C13" s="78" t="s">
        <v>132</v>
      </c>
      <c r="D13" s="77" t="s">
        <v>92</v>
      </c>
      <c r="E13" s="77" t="s">
        <v>70</v>
      </c>
      <c r="F13" s="77" t="s">
        <v>122</v>
      </c>
      <c r="G13" s="77">
        <f t="shared" si="0"/>
        <v>3</v>
      </c>
      <c r="H13" s="77">
        <f t="shared" si="1"/>
        <v>2</v>
      </c>
      <c r="I13" s="77">
        <f t="shared" si="2"/>
        <v>6</v>
      </c>
      <c r="J13" s="77" t="str">
        <f t="shared" si="3"/>
        <v>Medium</v>
      </c>
      <c r="K13" s="79"/>
      <c r="L13" s="78" t="s">
        <v>133</v>
      </c>
      <c r="M13" s="78" t="s">
        <v>134</v>
      </c>
      <c r="N13" s="78" t="s">
        <v>135</v>
      </c>
    </row>
    <row r="14" spans="1:14" ht="33.75" customHeight="1" x14ac:dyDescent="0.2">
      <c r="A14" s="77" t="s">
        <v>136</v>
      </c>
      <c r="B14" s="78" t="s">
        <v>75</v>
      </c>
      <c r="C14" s="78" t="s">
        <v>137</v>
      </c>
      <c r="D14" s="77" t="s">
        <v>92</v>
      </c>
      <c r="E14" s="77" t="s">
        <v>69</v>
      </c>
      <c r="F14" s="77" t="s">
        <v>98</v>
      </c>
      <c r="G14" s="77">
        <f t="shared" si="0"/>
        <v>2</v>
      </c>
      <c r="H14" s="77">
        <f t="shared" si="1"/>
        <v>3</v>
      </c>
      <c r="I14" s="77">
        <f t="shared" si="2"/>
        <v>6</v>
      </c>
      <c r="J14" s="77" t="str">
        <f t="shared" si="3"/>
        <v>Medium</v>
      </c>
      <c r="K14" s="79"/>
      <c r="L14" s="78" t="s">
        <v>138</v>
      </c>
      <c r="M14" s="78" t="s">
        <v>139</v>
      </c>
      <c r="N14" s="78" t="s">
        <v>140</v>
      </c>
    </row>
    <row r="15" spans="1:14" ht="33.75" customHeight="1" x14ac:dyDescent="0.2">
      <c r="A15" s="77" t="s">
        <v>64</v>
      </c>
      <c r="B15" s="78" t="s">
        <v>76</v>
      </c>
      <c r="C15" s="78" t="s">
        <v>141</v>
      </c>
      <c r="D15" s="77" t="s">
        <v>107</v>
      </c>
      <c r="E15" s="77" t="s">
        <v>70</v>
      </c>
      <c r="F15" s="77" t="s">
        <v>122</v>
      </c>
      <c r="G15" s="77">
        <f t="shared" si="0"/>
        <v>3</v>
      </c>
      <c r="H15" s="77">
        <f t="shared" si="1"/>
        <v>2</v>
      </c>
      <c r="I15" s="77">
        <f t="shared" si="2"/>
        <v>6</v>
      </c>
      <c r="J15" s="77" t="str">
        <f t="shared" si="3"/>
        <v>Medium</v>
      </c>
      <c r="K15" s="79"/>
      <c r="L15" s="78" t="s">
        <v>142</v>
      </c>
      <c r="M15" s="78" t="s">
        <v>143</v>
      </c>
      <c r="N15" s="78" t="s">
        <v>144</v>
      </c>
    </row>
    <row r="16" spans="1:14" ht="33.75" customHeight="1" x14ac:dyDescent="0.2">
      <c r="A16" s="77" t="s">
        <v>145</v>
      </c>
      <c r="B16" s="78" t="s">
        <v>74</v>
      </c>
      <c r="C16" s="78" t="s">
        <v>146</v>
      </c>
      <c r="D16" s="77" t="s">
        <v>107</v>
      </c>
      <c r="E16" s="77" t="s">
        <v>69</v>
      </c>
      <c r="F16" s="77" t="s">
        <v>98</v>
      </c>
      <c r="G16" s="77">
        <f t="shared" si="0"/>
        <v>2</v>
      </c>
      <c r="H16" s="77">
        <f t="shared" si="1"/>
        <v>3</v>
      </c>
      <c r="I16" s="77">
        <f t="shared" si="2"/>
        <v>6</v>
      </c>
      <c r="J16" s="77" t="str">
        <f t="shared" si="3"/>
        <v>Medium</v>
      </c>
      <c r="K16" s="79"/>
      <c r="L16" s="78" t="s">
        <v>147</v>
      </c>
      <c r="M16" s="78" t="s">
        <v>148</v>
      </c>
      <c r="N16" s="78" t="s">
        <v>149</v>
      </c>
    </row>
    <row r="17" spans="1:14" ht="33.75" customHeight="1" x14ac:dyDescent="0.2">
      <c r="A17" s="77" t="s">
        <v>150</v>
      </c>
      <c r="B17" s="78" t="s">
        <v>77</v>
      </c>
      <c r="C17" s="78" t="s">
        <v>151</v>
      </c>
      <c r="D17" s="77" t="s">
        <v>92</v>
      </c>
      <c r="E17" s="77" t="s">
        <v>70</v>
      </c>
      <c r="F17" s="77" t="s">
        <v>122</v>
      </c>
      <c r="G17" s="77">
        <f t="shared" si="0"/>
        <v>3</v>
      </c>
      <c r="H17" s="77">
        <f t="shared" si="1"/>
        <v>2</v>
      </c>
      <c r="I17" s="77">
        <f t="shared" si="2"/>
        <v>6</v>
      </c>
      <c r="J17" s="77" t="str">
        <f t="shared" si="3"/>
        <v>Medium</v>
      </c>
      <c r="K17" s="79"/>
      <c r="L17" s="78" t="s">
        <v>152</v>
      </c>
      <c r="M17" s="78" t="s">
        <v>153</v>
      </c>
      <c r="N17" s="78" t="s">
        <v>154</v>
      </c>
    </row>
    <row r="18" spans="1:14" ht="33.75" customHeight="1" x14ac:dyDescent="0.2">
      <c r="A18" s="77" t="s">
        <v>155</v>
      </c>
      <c r="B18" s="78" t="s">
        <v>77</v>
      </c>
      <c r="C18" s="78" t="s">
        <v>156</v>
      </c>
      <c r="D18" s="77" t="s">
        <v>92</v>
      </c>
      <c r="E18" s="77" t="s">
        <v>70</v>
      </c>
      <c r="F18" s="77" t="s">
        <v>122</v>
      </c>
      <c r="G18" s="77">
        <f t="shared" si="0"/>
        <v>3</v>
      </c>
      <c r="H18" s="77">
        <f t="shared" si="1"/>
        <v>2</v>
      </c>
      <c r="I18" s="77">
        <f t="shared" si="2"/>
        <v>6</v>
      </c>
      <c r="J18" s="77" t="str">
        <f t="shared" si="3"/>
        <v>Medium</v>
      </c>
      <c r="K18" s="79"/>
      <c r="L18" s="78" t="s">
        <v>157</v>
      </c>
      <c r="M18" s="78" t="s">
        <v>158</v>
      </c>
      <c r="N18" s="78" t="s">
        <v>159</v>
      </c>
    </row>
    <row r="19" spans="1:14" ht="33.75" customHeight="1" x14ac:dyDescent="0.2">
      <c r="A19" s="77" t="s">
        <v>160</v>
      </c>
      <c r="B19" s="78" t="s">
        <v>75</v>
      </c>
      <c r="C19" s="78" t="s">
        <v>161</v>
      </c>
      <c r="D19" s="77" t="s">
        <v>107</v>
      </c>
      <c r="E19" s="77" t="s">
        <v>70</v>
      </c>
      <c r="F19" s="77" t="s">
        <v>122</v>
      </c>
      <c r="G19" s="77">
        <f t="shared" si="0"/>
        <v>3</v>
      </c>
      <c r="H19" s="77">
        <f t="shared" si="1"/>
        <v>2</v>
      </c>
      <c r="I19" s="77">
        <f t="shared" si="2"/>
        <v>6</v>
      </c>
      <c r="J19" s="77" t="str">
        <f t="shared" si="3"/>
        <v>Medium</v>
      </c>
      <c r="K19" s="79"/>
      <c r="L19" s="78" t="s">
        <v>162</v>
      </c>
      <c r="M19" s="78" t="s">
        <v>163</v>
      </c>
      <c r="N19" s="78" t="s">
        <v>164</v>
      </c>
    </row>
    <row r="20" spans="1:14" ht="33.75" customHeight="1" x14ac:dyDescent="0.2">
      <c r="A20" s="73" t="s">
        <v>165</v>
      </c>
      <c r="B20" s="74" t="s">
        <v>74</v>
      </c>
      <c r="C20" s="75" t="s">
        <v>166</v>
      </c>
      <c r="D20" s="76" t="s">
        <v>92</v>
      </c>
      <c r="E20" s="76" t="s">
        <v>167</v>
      </c>
      <c r="F20" s="76" t="s">
        <v>35</v>
      </c>
      <c r="G20" s="76">
        <f t="shared" si="0"/>
        <v>1</v>
      </c>
      <c r="H20" s="76">
        <f t="shared" si="1"/>
        <v>5</v>
      </c>
      <c r="I20" s="76">
        <f t="shared" si="2"/>
        <v>5</v>
      </c>
      <c r="J20" s="76" t="str">
        <f t="shared" si="3"/>
        <v>Medium</v>
      </c>
      <c r="K20" s="73">
        <v>5</v>
      </c>
      <c r="L20" s="74" t="s">
        <v>168</v>
      </c>
      <c r="M20" s="74" t="s">
        <v>169</v>
      </c>
      <c r="N20" s="74" t="s">
        <v>170</v>
      </c>
    </row>
    <row r="21" spans="1:14" ht="33.75" customHeight="1" x14ac:dyDescent="0.2">
      <c r="A21" s="77" t="s">
        <v>171</v>
      </c>
      <c r="B21" s="78" t="s">
        <v>75</v>
      </c>
      <c r="C21" s="78" t="s">
        <v>172</v>
      </c>
      <c r="D21" s="77" t="s">
        <v>107</v>
      </c>
      <c r="E21" s="77" t="s">
        <v>167</v>
      </c>
      <c r="F21" s="77" t="s">
        <v>93</v>
      </c>
      <c r="G21" s="77">
        <f t="shared" si="0"/>
        <v>1</v>
      </c>
      <c r="H21" s="77">
        <f t="shared" si="1"/>
        <v>4</v>
      </c>
      <c r="I21" s="77">
        <f t="shared" si="2"/>
        <v>4</v>
      </c>
      <c r="J21" s="77" t="str">
        <f t="shared" si="3"/>
        <v>Low</v>
      </c>
      <c r="K21" s="79"/>
      <c r="L21" s="78" t="s">
        <v>173</v>
      </c>
      <c r="M21" s="78" t="s">
        <v>174</v>
      </c>
      <c r="N21" s="78" t="s">
        <v>175</v>
      </c>
    </row>
    <row r="22" spans="1:14" ht="33.75" customHeight="1" x14ac:dyDescent="0.2">
      <c r="A22" s="77" t="s">
        <v>176</v>
      </c>
      <c r="B22" s="78" t="s">
        <v>76</v>
      </c>
      <c r="C22" s="78" t="s">
        <v>177</v>
      </c>
      <c r="D22" s="77" t="s">
        <v>92</v>
      </c>
      <c r="E22" s="77" t="s">
        <v>69</v>
      </c>
      <c r="F22" s="77" t="s">
        <v>122</v>
      </c>
      <c r="G22" s="77">
        <f t="shared" si="0"/>
        <v>2</v>
      </c>
      <c r="H22" s="77">
        <f t="shared" si="1"/>
        <v>2</v>
      </c>
      <c r="I22" s="77">
        <f t="shared" si="2"/>
        <v>4</v>
      </c>
      <c r="J22" s="77" t="str">
        <f t="shared" si="3"/>
        <v>Low</v>
      </c>
      <c r="K22" s="79"/>
      <c r="L22" s="78" t="s">
        <v>178</v>
      </c>
      <c r="M22" s="78" t="s">
        <v>179</v>
      </c>
      <c r="N22" s="78" t="s">
        <v>180</v>
      </c>
    </row>
    <row r="23" spans="1:14" ht="33.75" customHeight="1" x14ac:dyDescent="0.2">
      <c r="A23" s="77" t="s">
        <v>181</v>
      </c>
      <c r="B23" s="78" t="s">
        <v>78</v>
      </c>
      <c r="C23" s="78" t="s">
        <v>182</v>
      </c>
      <c r="D23" s="77" t="s">
        <v>92</v>
      </c>
      <c r="E23" s="77" t="s">
        <v>69</v>
      </c>
      <c r="F23" s="77" t="s">
        <v>122</v>
      </c>
      <c r="G23" s="77">
        <f t="shared" si="0"/>
        <v>2</v>
      </c>
      <c r="H23" s="77">
        <f t="shared" si="1"/>
        <v>2</v>
      </c>
      <c r="I23" s="77">
        <f t="shared" si="2"/>
        <v>4</v>
      </c>
      <c r="J23" s="77" t="str">
        <f t="shared" si="3"/>
        <v>Low</v>
      </c>
      <c r="K23" s="79"/>
      <c r="L23" s="78" t="s">
        <v>183</v>
      </c>
      <c r="M23" s="78" t="s">
        <v>184</v>
      </c>
      <c r="N23" s="78" t="s">
        <v>185</v>
      </c>
    </row>
    <row r="24" spans="1:14" ht="33.75" customHeight="1" x14ac:dyDescent="0.2">
      <c r="A24" s="77" t="s">
        <v>186</v>
      </c>
      <c r="B24" s="78" t="s">
        <v>78</v>
      </c>
      <c r="C24" s="78" t="s">
        <v>187</v>
      </c>
      <c r="D24" s="77" t="s">
        <v>92</v>
      </c>
      <c r="E24" s="77" t="s">
        <v>69</v>
      </c>
      <c r="F24" s="77" t="s">
        <v>122</v>
      </c>
      <c r="G24" s="77">
        <f t="shared" si="0"/>
        <v>2</v>
      </c>
      <c r="H24" s="77">
        <f t="shared" si="1"/>
        <v>2</v>
      </c>
      <c r="I24" s="77">
        <f t="shared" si="2"/>
        <v>4</v>
      </c>
      <c r="J24" s="77" t="str">
        <f t="shared" si="3"/>
        <v>Low</v>
      </c>
      <c r="K24" s="79"/>
      <c r="L24" s="78" t="s">
        <v>188</v>
      </c>
      <c r="M24" s="78" t="s">
        <v>189</v>
      </c>
      <c r="N24" s="78" t="s">
        <v>190</v>
      </c>
    </row>
    <row r="25" spans="1:14" ht="33.75" customHeight="1" x14ac:dyDescent="0.2">
      <c r="A25" s="77" t="s">
        <v>191</v>
      </c>
      <c r="B25" s="78" t="s">
        <v>75</v>
      </c>
      <c r="C25" s="78" t="s">
        <v>192</v>
      </c>
      <c r="D25" s="77" t="s">
        <v>107</v>
      </c>
      <c r="E25" s="77" t="s">
        <v>69</v>
      </c>
      <c r="F25" s="77" t="s">
        <v>122</v>
      </c>
      <c r="G25" s="77">
        <f t="shared" si="0"/>
        <v>2</v>
      </c>
      <c r="H25" s="77">
        <f t="shared" si="1"/>
        <v>2</v>
      </c>
      <c r="I25" s="77">
        <f t="shared" si="2"/>
        <v>4</v>
      </c>
      <c r="J25" s="77" t="str">
        <f t="shared" si="3"/>
        <v>Low</v>
      </c>
      <c r="K25" s="79"/>
      <c r="L25" s="78" t="s">
        <v>193</v>
      </c>
      <c r="M25" s="78" t="s">
        <v>194</v>
      </c>
      <c r="N25" s="78" t="s">
        <v>195</v>
      </c>
    </row>
    <row r="26" spans="1:14" ht="33.75" customHeight="1" x14ac:dyDescent="0.2">
      <c r="A26" s="77" t="s">
        <v>196</v>
      </c>
      <c r="B26" s="78" t="s">
        <v>75</v>
      </c>
      <c r="C26" s="78" t="s">
        <v>197</v>
      </c>
      <c r="D26" s="77" t="s">
        <v>107</v>
      </c>
      <c r="E26" s="77" t="s">
        <v>69</v>
      </c>
      <c r="F26" s="77" t="s">
        <v>122</v>
      </c>
      <c r="G26" s="77">
        <f t="shared" si="0"/>
        <v>2</v>
      </c>
      <c r="H26" s="77">
        <f t="shared" si="1"/>
        <v>2</v>
      </c>
      <c r="I26" s="77">
        <f t="shared" si="2"/>
        <v>4</v>
      </c>
      <c r="J26" s="77" t="str">
        <f t="shared" si="3"/>
        <v>Low</v>
      </c>
      <c r="K26" s="79"/>
      <c r="L26" s="78" t="s">
        <v>198</v>
      </c>
      <c r="M26" s="78" t="s">
        <v>199</v>
      </c>
      <c r="N26" s="78" t="s">
        <v>200</v>
      </c>
    </row>
    <row r="27" spans="1:14" ht="33.75" customHeight="1" x14ac:dyDescent="0.2">
      <c r="A27" s="77" t="s">
        <v>201</v>
      </c>
      <c r="B27" s="78" t="s">
        <v>75</v>
      </c>
      <c r="C27" s="78" t="s">
        <v>202</v>
      </c>
      <c r="D27" s="77" t="s">
        <v>107</v>
      </c>
      <c r="E27" s="77" t="s">
        <v>69</v>
      </c>
      <c r="F27" s="77" t="s">
        <v>122</v>
      </c>
      <c r="G27" s="77">
        <f t="shared" si="0"/>
        <v>2</v>
      </c>
      <c r="H27" s="77">
        <f t="shared" si="1"/>
        <v>2</v>
      </c>
      <c r="I27" s="77">
        <f t="shared" si="2"/>
        <v>4</v>
      </c>
      <c r="J27" s="77" t="str">
        <f t="shared" si="3"/>
        <v>Low</v>
      </c>
      <c r="K27" s="79"/>
      <c r="L27" s="78" t="s">
        <v>203</v>
      </c>
      <c r="M27" s="78" t="s">
        <v>204</v>
      </c>
      <c r="N27" s="78" t="s">
        <v>205</v>
      </c>
    </row>
    <row r="28" spans="1:14" ht="33.75" customHeight="1" x14ac:dyDescent="0.2">
      <c r="A28" s="77" t="s">
        <v>206</v>
      </c>
      <c r="B28" s="78" t="s">
        <v>76</v>
      </c>
      <c r="C28" s="78" t="s">
        <v>207</v>
      </c>
      <c r="D28" s="77" t="s">
        <v>107</v>
      </c>
      <c r="E28" s="77" t="s">
        <v>167</v>
      </c>
      <c r="F28" s="77" t="s">
        <v>122</v>
      </c>
      <c r="G28" s="77">
        <f t="shared" si="0"/>
        <v>1</v>
      </c>
      <c r="H28" s="77">
        <f t="shared" si="1"/>
        <v>2</v>
      </c>
      <c r="I28" s="77">
        <f t="shared" si="2"/>
        <v>2</v>
      </c>
      <c r="J28" s="77" t="str">
        <f t="shared" si="3"/>
        <v>Low</v>
      </c>
      <c r="K28" s="79"/>
      <c r="L28" s="78" t="s">
        <v>208</v>
      </c>
      <c r="M28" s="78" t="s">
        <v>209</v>
      </c>
      <c r="N28" s="78" t="s">
        <v>210</v>
      </c>
    </row>
    <row r="31" spans="1:14" ht="15" customHeight="1" x14ac:dyDescent="0.2">
      <c r="B31" s="69" t="s">
        <v>429</v>
      </c>
      <c r="C31" s="9"/>
      <c r="D31" s="9"/>
      <c r="E31" s="9"/>
    </row>
    <row r="32" spans="1:14" ht="42.75" customHeight="1" x14ac:dyDescent="0.2">
      <c r="B32" s="71" t="s">
        <v>25</v>
      </c>
      <c r="D32" s="71" t="s">
        <v>211</v>
      </c>
      <c r="E32" s="71" t="s">
        <v>16</v>
      </c>
    </row>
    <row r="33" spans="2:5" ht="15" customHeight="1" x14ac:dyDescent="0.2">
      <c r="B33" s="70" t="s">
        <v>167</v>
      </c>
      <c r="D33" s="91" t="s">
        <v>212</v>
      </c>
      <c r="E33" s="92">
        <v>1</v>
      </c>
    </row>
    <row r="34" spans="2:5" ht="15" customHeight="1" x14ac:dyDescent="0.2">
      <c r="B34" s="70" t="s">
        <v>69</v>
      </c>
      <c r="D34" s="91" t="s">
        <v>213</v>
      </c>
      <c r="E34" s="92">
        <v>2</v>
      </c>
    </row>
    <row r="35" spans="2:5" ht="15" customHeight="1" x14ac:dyDescent="0.2">
      <c r="B35" s="70" t="s">
        <v>70</v>
      </c>
      <c r="D35" s="91" t="s">
        <v>214</v>
      </c>
      <c r="E35" s="92">
        <v>3</v>
      </c>
    </row>
    <row r="36" spans="2:5" ht="15" customHeight="1" x14ac:dyDescent="0.2">
      <c r="B36" s="70" t="s">
        <v>71</v>
      </c>
      <c r="D36" s="91" t="s">
        <v>215</v>
      </c>
      <c r="E36" s="92">
        <v>4</v>
      </c>
    </row>
    <row r="37" spans="2:5" ht="15" customHeight="1" x14ac:dyDescent="0.2">
      <c r="B37" s="70" t="s">
        <v>216</v>
      </c>
      <c r="D37" s="91" t="s">
        <v>217</v>
      </c>
      <c r="E37" s="92">
        <v>5</v>
      </c>
    </row>
    <row r="39" spans="2:5" ht="15" customHeight="1" x14ac:dyDescent="0.2">
      <c r="B39" s="81" t="s">
        <v>430</v>
      </c>
      <c r="C39" s="9"/>
      <c r="D39" s="9"/>
      <c r="E39" s="9"/>
    </row>
    <row r="40" spans="2:5" ht="42.75" customHeight="1" x14ac:dyDescent="0.2">
      <c r="B40" s="83" t="s">
        <v>15</v>
      </c>
      <c r="D40" s="93" t="s">
        <v>218</v>
      </c>
      <c r="E40" s="93" t="s">
        <v>16</v>
      </c>
    </row>
    <row r="41" spans="2:5" ht="15" customHeight="1" x14ac:dyDescent="0.2">
      <c r="B41" s="82" t="s">
        <v>219</v>
      </c>
      <c r="D41" s="94" t="s">
        <v>220</v>
      </c>
      <c r="E41" s="95">
        <v>1</v>
      </c>
    </row>
    <row r="42" spans="2:5" ht="15" customHeight="1" x14ac:dyDescent="0.2">
      <c r="B42" s="82" t="s">
        <v>122</v>
      </c>
      <c r="C42" s="80"/>
      <c r="D42" s="94" t="s">
        <v>221</v>
      </c>
      <c r="E42" s="95">
        <v>2</v>
      </c>
    </row>
    <row r="43" spans="2:5" ht="15" customHeight="1" x14ac:dyDescent="0.2">
      <c r="B43" s="82" t="s">
        <v>98</v>
      </c>
      <c r="D43" s="94" t="s">
        <v>222</v>
      </c>
      <c r="E43" s="95">
        <v>3</v>
      </c>
    </row>
    <row r="44" spans="2:5" ht="15" customHeight="1" x14ac:dyDescent="0.2">
      <c r="B44" s="82" t="s">
        <v>93</v>
      </c>
      <c r="D44" s="94" t="s">
        <v>223</v>
      </c>
      <c r="E44" s="95">
        <v>4</v>
      </c>
    </row>
    <row r="45" spans="2:5" ht="15" customHeight="1" x14ac:dyDescent="0.2">
      <c r="B45" s="82" t="s">
        <v>35</v>
      </c>
      <c r="D45" s="94" t="s">
        <v>224</v>
      </c>
      <c r="E45" s="95">
        <v>5</v>
      </c>
    </row>
    <row r="47" spans="2:5" ht="15" customHeight="1" x14ac:dyDescent="0.2">
      <c r="B47" s="84" t="s">
        <v>431</v>
      </c>
      <c r="C47" s="85"/>
      <c r="D47" s="86"/>
      <c r="E47" s="87"/>
    </row>
    <row r="48" spans="2:5" ht="15" customHeight="1" x14ac:dyDescent="0.2">
      <c r="B48" s="88" t="s">
        <v>225</v>
      </c>
      <c r="C48" s="88" t="s">
        <v>226</v>
      </c>
      <c r="D48" s="88" t="s">
        <v>227</v>
      </c>
    </row>
    <row r="49" spans="2:5" ht="15" customHeight="1" x14ac:dyDescent="0.2">
      <c r="B49" s="96">
        <v>1</v>
      </c>
      <c r="C49" s="96" t="s">
        <v>69</v>
      </c>
      <c r="D49" s="96" t="s">
        <v>228</v>
      </c>
    </row>
    <row r="50" spans="2:5" ht="15" customHeight="1" x14ac:dyDescent="0.2">
      <c r="B50" s="96">
        <v>5</v>
      </c>
      <c r="C50" s="96" t="s">
        <v>70</v>
      </c>
      <c r="D50" s="96" t="s">
        <v>229</v>
      </c>
    </row>
    <row r="51" spans="2:5" ht="15" customHeight="1" x14ac:dyDescent="0.2">
      <c r="B51" s="96">
        <v>10</v>
      </c>
      <c r="C51" s="96" t="s">
        <v>71</v>
      </c>
      <c r="D51" s="96" t="s">
        <v>230</v>
      </c>
    </row>
    <row r="52" spans="2:5" ht="15" customHeight="1" x14ac:dyDescent="0.2">
      <c r="B52" s="96">
        <v>16</v>
      </c>
      <c r="C52" s="96" t="s">
        <v>72</v>
      </c>
      <c r="D52" s="96" t="s">
        <v>231</v>
      </c>
    </row>
    <row r="54" spans="2:5" ht="15" customHeight="1" x14ac:dyDescent="0.2">
      <c r="B54" s="90" t="s">
        <v>232</v>
      </c>
      <c r="C54" s="90"/>
      <c r="D54" s="90"/>
      <c r="E54" s="89"/>
    </row>
    <row r="55" spans="2:5" ht="15" customHeight="1" x14ac:dyDescent="0.2">
      <c r="B55" s="90"/>
      <c r="C55" s="90"/>
      <c r="D55" s="90"/>
      <c r="E55" s="89"/>
    </row>
    <row r="56" spans="2:5" ht="15" customHeight="1" x14ac:dyDescent="0.2">
      <c r="B56" s="89"/>
      <c r="C56" s="89"/>
      <c r="D56" s="89"/>
      <c r="E56" s="89"/>
    </row>
    <row r="57" spans="2:5" ht="15" customHeight="1" x14ac:dyDescent="0.2">
      <c r="B57" s="89"/>
      <c r="C57" s="89"/>
      <c r="D57" s="89"/>
      <c r="E57" s="89"/>
    </row>
    <row r="58" spans="2:5" ht="15" customHeight="1" x14ac:dyDescent="0.2">
      <c r="B58" s="89"/>
      <c r="C58" s="89"/>
      <c r="D58" s="89"/>
      <c r="E58" s="89"/>
    </row>
  </sheetData>
  <mergeCells count="3">
    <mergeCell ref="A1:N2"/>
    <mergeCell ref="B47:D47"/>
    <mergeCell ref="B54:D55"/>
  </mergeCells>
  <conditionalFormatting sqref="I5:J28">
    <cfRule type="expression" dxfId="7" priority="2">
      <formula>$J5="Low"</formula>
    </cfRule>
    <cfRule type="expression" dxfId="6" priority="3">
      <formula>$J5="Medium"</formula>
    </cfRule>
    <cfRule type="expression" dxfId="5" priority="4">
      <formula>$J5="High"</formula>
    </cfRule>
    <cfRule type="expression" dxfId="4" priority="5">
      <formula>$J5="Critical"</formula>
    </cfRule>
  </conditionalFormatting>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H37"/>
  <sheetViews>
    <sheetView showGridLines="0" zoomScale="125" zoomScaleNormal="100" workbookViewId="0">
      <selection activeCell="L19" sqref="L19"/>
    </sheetView>
  </sheetViews>
  <sheetFormatPr baseColWidth="10" defaultColWidth="8.6640625" defaultRowHeight="15" x14ac:dyDescent="0.2"/>
  <cols>
    <col min="1" max="1" width="2" customWidth="1"/>
    <col min="2" max="2" width="18" customWidth="1"/>
    <col min="3" max="3" width="48" customWidth="1"/>
    <col min="4" max="6" width="20" customWidth="1"/>
    <col min="7" max="7" width="27.5" customWidth="1"/>
  </cols>
  <sheetData>
    <row r="2" spans="2:8" ht="25.5" customHeight="1" x14ac:dyDescent="0.2">
      <c r="B2" s="98" t="s">
        <v>233</v>
      </c>
      <c r="C2" s="98"/>
      <c r="D2" s="98"/>
      <c r="E2" s="98"/>
      <c r="F2" s="98"/>
      <c r="G2" s="98"/>
      <c r="H2" s="97"/>
    </row>
    <row r="3" spans="2:8" ht="15" customHeight="1" x14ac:dyDescent="0.2">
      <c r="B3" s="110" t="s">
        <v>234</v>
      </c>
      <c r="C3" s="111"/>
      <c r="D3" s="111"/>
      <c r="E3" s="111"/>
      <c r="F3" s="111"/>
      <c r="G3" s="112"/>
      <c r="H3" s="67"/>
    </row>
    <row r="5" spans="2:8" ht="43.5" customHeight="1" x14ac:dyDescent="0.2">
      <c r="B5" s="99" t="s">
        <v>235</v>
      </c>
      <c r="C5" s="100" t="s">
        <v>236</v>
      </c>
      <c r="D5" s="100" t="s">
        <v>237</v>
      </c>
      <c r="E5" s="100" t="s">
        <v>238</v>
      </c>
      <c r="F5" s="100" t="s">
        <v>239</v>
      </c>
      <c r="G5" s="100" t="s">
        <v>240</v>
      </c>
    </row>
    <row r="6" spans="2:8" ht="54" customHeight="1" x14ac:dyDescent="0.2">
      <c r="B6" s="101" t="s">
        <v>241</v>
      </c>
      <c r="C6" s="102" t="s">
        <v>242</v>
      </c>
      <c r="D6" s="103" t="s">
        <v>243</v>
      </c>
      <c r="E6" s="103" t="s">
        <v>244</v>
      </c>
      <c r="F6" s="104" t="s">
        <v>245</v>
      </c>
      <c r="G6" s="104" t="s">
        <v>246</v>
      </c>
    </row>
    <row r="7" spans="2:8" ht="54" customHeight="1" x14ac:dyDescent="0.2">
      <c r="B7" s="101" t="s">
        <v>247</v>
      </c>
      <c r="C7" s="105" t="s">
        <v>248</v>
      </c>
      <c r="D7" s="106" t="s">
        <v>249</v>
      </c>
      <c r="E7" s="103" t="s">
        <v>250</v>
      </c>
      <c r="F7" s="107" t="s">
        <v>251</v>
      </c>
      <c r="G7" s="104" t="s">
        <v>245</v>
      </c>
    </row>
    <row r="8" spans="2:8" ht="54" customHeight="1" x14ac:dyDescent="0.2">
      <c r="B8" s="101" t="s">
        <v>252</v>
      </c>
      <c r="C8" s="108" t="s">
        <v>21</v>
      </c>
      <c r="D8" s="102" t="s">
        <v>253</v>
      </c>
      <c r="E8" s="102" t="s">
        <v>254</v>
      </c>
      <c r="F8" s="109" t="s">
        <v>255</v>
      </c>
      <c r="G8" s="103" t="s">
        <v>244</v>
      </c>
    </row>
    <row r="9" spans="2:8" ht="54" customHeight="1" x14ac:dyDescent="0.2">
      <c r="B9" s="101" t="s">
        <v>256</v>
      </c>
      <c r="C9" s="105" t="s">
        <v>257</v>
      </c>
      <c r="D9" s="105" t="s">
        <v>258</v>
      </c>
      <c r="E9" s="102" t="s">
        <v>259</v>
      </c>
      <c r="F9" s="102" t="s">
        <v>260</v>
      </c>
      <c r="G9" s="103" t="s">
        <v>243</v>
      </c>
    </row>
    <row r="10" spans="2:8" ht="54" customHeight="1" x14ac:dyDescent="0.2">
      <c r="B10" s="101" t="s">
        <v>261</v>
      </c>
      <c r="C10" s="108" t="s">
        <v>19</v>
      </c>
      <c r="D10" s="108" t="s">
        <v>20</v>
      </c>
      <c r="E10" s="108" t="s">
        <v>21</v>
      </c>
      <c r="F10" s="108" t="s">
        <v>22</v>
      </c>
      <c r="G10" s="106" t="s">
        <v>23</v>
      </c>
    </row>
    <row r="12" spans="2:8" ht="15" customHeight="1" x14ac:dyDescent="0.2">
      <c r="B12" s="114" t="s">
        <v>262</v>
      </c>
      <c r="C12" s="114"/>
      <c r="D12" s="114"/>
      <c r="E12" s="114"/>
      <c r="F12" s="114"/>
      <c r="G12" s="114"/>
    </row>
    <row r="13" spans="2:8" ht="15" customHeight="1" x14ac:dyDescent="0.2">
      <c r="B13" s="113" t="s">
        <v>80</v>
      </c>
      <c r="C13" s="113" t="s">
        <v>14</v>
      </c>
      <c r="D13" s="113" t="s">
        <v>25</v>
      </c>
      <c r="E13" s="113" t="s">
        <v>15</v>
      </c>
      <c r="F13" s="113" t="s">
        <v>263</v>
      </c>
      <c r="G13" s="113" t="s">
        <v>226</v>
      </c>
    </row>
    <row r="14" spans="2:8" ht="15" customHeight="1" x14ac:dyDescent="0.2">
      <c r="B14" s="16" t="str">
        <f>'Risk Register'!A5</f>
        <v>R01</v>
      </c>
      <c r="C14" s="115" t="str">
        <f>'Risk Register'!C5</f>
        <v>Peak-season weather variability in India</v>
      </c>
      <c r="D14" s="16">
        <f>'Risk Register'!G5</f>
        <v>4</v>
      </c>
      <c r="E14" s="16">
        <f>'Risk Register'!H5</f>
        <v>4</v>
      </c>
      <c r="F14" s="16">
        <f>'Risk Register'!I5</f>
        <v>16</v>
      </c>
      <c r="G14" s="16" t="str">
        <f>'Risk Register'!J5</f>
        <v>Critical</v>
      </c>
    </row>
    <row r="15" spans="2:8" ht="15" customHeight="1" x14ac:dyDescent="0.2">
      <c r="B15" s="16" t="str">
        <f>'Risk Register'!A6</f>
        <v>R02</v>
      </c>
      <c r="C15" s="115" t="str">
        <f>'Risk Register'!C6</f>
        <v>Demerit fiscal treatment of carbonated drinks</v>
      </c>
      <c r="D15" s="16">
        <f>'Risk Register'!G6</f>
        <v>4</v>
      </c>
      <c r="E15" s="16">
        <f>'Risk Register'!H6</f>
        <v>3</v>
      </c>
      <c r="F15" s="16">
        <f>'Risk Register'!I6</f>
        <v>12</v>
      </c>
      <c r="G15" s="16" t="str">
        <f>'Risk Register'!J6</f>
        <v>High</v>
      </c>
    </row>
    <row r="16" spans="2:8" ht="15" customHeight="1" x14ac:dyDescent="0.2">
      <c r="B16" s="16" t="str">
        <f>'Risk Register'!A7</f>
        <v>R03</v>
      </c>
      <c r="C16" s="115" t="str">
        <f>'Risk Register'!C7</f>
        <v>Competitive intensity and price disruption in India</v>
      </c>
      <c r="D16" s="16">
        <f>'Risk Register'!G7</f>
        <v>4</v>
      </c>
      <c r="E16" s="16">
        <f>'Risk Register'!H7</f>
        <v>3</v>
      </c>
      <c r="F16" s="16">
        <f>'Risk Register'!I7</f>
        <v>12</v>
      </c>
      <c r="G16" s="16" t="str">
        <f>'Risk Register'!J7</f>
        <v>High</v>
      </c>
    </row>
    <row r="17" spans="2:7" ht="15" customHeight="1" x14ac:dyDescent="0.2">
      <c r="B17" s="16" t="str">
        <f>'Risk Register'!A8</f>
        <v>R04</v>
      </c>
      <c r="C17" s="115" t="str">
        <f>'Risk Register'!C8</f>
        <v>Acquisition integration - Twizza and Bevco</v>
      </c>
      <c r="D17" s="16">
        <f>'Risk Register'!G8</f>
        <v>4</v>
      </c>
      <c r="E17" s="16">
        <f>'Risk Register'!H8</f>
        <v>3</v>
      </c>
      <c r="F17" s="16">
        <f>'Risk Register'!I8</f>
        <v>12</v>
      </c>
      <c r="G17" s="16" t="str">
        <f>'Risk Register'!J8</f>
        <v>High</v>
      </c>
    </row>
    <row r="18" spans="2:7" ht="15" customHeight="1" x14ac:dyDescent="0.2">
      <c r="B18" s="16" t="str">
        <f>'Risk Register'!A9</f>
        <v>R05</v>
      </c>
      <c r="C18" s="115" t="str">
        <f>'Risk Register'!C9</f>
        <v>Input-cost inflation in sugar, aluminium and PET</v>
      </c>
      <c r="D18" s="16">
        <f>'Risk Register'!G9</f>
        <v>3</v>
      </c>
      <c r="E18" s="16">
        <f>'Risk Register'!H9</f>
        <v>3</v>
      </c>
      <c r="F18" s="16">
        <f>'Risk Register'!I9</f>
        <v>9</v>
      </c>
      <c r="G18" s="16" t="str">
        <f>'Risk Register'!J9</f>
        <v>Medium</v>
      </c>
    </row>
    <row r="19" spans="2:7" ht="15" customHeight="1" x14ac:dyDescent="0.2">
      <c r="B19" s="16" t="str">
        <f>'Risk Register'!A10</f>
        <v>R06</v>
      </c>
      <c r="C19" s="115" t="str">
        <f>'Risk Register'!C10</f>
        <v>Utilisation of the four new India greenfield plants</v>
      </c>
      <c r="D19" s="16">
        <f>'Risk Register'!G10</f>
        <v>3</v>
      </c>
      <c r="E19" s="16">
        <f>'Risk Register'!H10</f>
        <v>3</v>
      </c>
      <c r="F19" s="16">
        <f>'Risk Register'!I10</f>
        <v>9</v>
      </c>
      <c r="G19" s="16" t="str">
        <f>'Risk Register'!J10</f>
        <v>Medium</v>
      </c>
    </row>
    <row r="20" spans="2:7" ht="15" customHeight="1" x14ac:dyDescent="0.2">
      <c r="B20" s="16" t="str">
        <f>'Risk Register'!A11</f>
        <v>R07</v>
      </c>
      <c r="C20" s="115" t="str">
        <f>'Risk Register'!C11</f>
        <v>Currency translation exposure on international earnings</v>
      </c>
      <c r="D20" s="16">
        <f>'Risk Register'!G11</f>
        <v>4</v>
      </c>
      <c r="E20" s="16">
        <f>'Risk Register'!H11</f>
        <v>2</v>
      </c>
      <c r="F20" s="16">
        <f>'Risk Register'!I11</f>
        <v>8</v>
      </c>
      <c r="G20" s="16" t="str">
        <f>'Risk Register'!J11</f>
        <v>Medium</v>
      </c>
    </row>
    <row r="21" spans="2:7" ht="15" customHeight="1" x14ac:dyDescent="0.2">
      <c r="B21" s="16" t="str">
        <f>'Risk Register'!A12</f>
        <v>R08</v>
      </c>
      <c r="C21" s="115" t="str">
        <f>'Risk Register'!C12</f>
        <v>New-territory entry and non-PepsiCo lines</v>
      </c>
      <c r="D21" s="16">
        <f>'Risk Register'!G12</f>
        <v>3</v>
      </c>
      <c r="E21" s="16">
        <f>'Risk Register'!H12</f>
        <v>2</v>
      </c>
      <c r="F21" s="16">
        <f>'Risk Register'!I12</f>
        <v>6</v>
      </c>
      <c r="G21" s="16" t="str">
        <f>'Risk Register'!J12</f>
        <v>Medium</v>
      </c>
    </row>
    <row r="22" spans="2:7" ht="15" customHeight="1" x14ac:dyDescent="0.2">
      <c r="B22" s="16" t="str">
        <f>'Risk Register'!A13</f>
        <v>R09</v>
      </c>
      <c r="C22" s="115" t="str">
        <f>'Risk Register'!C13</f>
        <v>Country and political risk in African territories</v>
      </c>
      <c r="D22" s="16">
        <f>'Risk Register'!G13</f>
        <v>3</v>
      </c>
      <c r="E22" s="16">
        <f>'Risk Register'!H13</f>
        <v>2</v>
      </c>
      <c r="F22" s="16">
        <f>'Risk Register'!I13</f>
        <v>6</v>
      </c>
      <c r="G22" s="16" t="str">
        <f>'Risk Register'!J13</f>
        <v>Medium</v>
      </c>
    </row>
    <row r="23" spans="2:7" ht="15" customHeight="1" x14ac:dyDescent="0.2">
      <c r="B23" s="16" t="str">
        <f>'Risk Register'!A14</f>
        <v>R10</v>
      </c>
      <c r="C23" s="115" t="str">
        <f>'Risk Register'!C14</f>
        <v>Raw material and packaging supply interruption</v>
      </c>
      <c r="D23" s="16">
        <f>'Risk Register'!G14</f>
        <v>2</v>
      </c>
      <c r="E23" s="16">
        <f>'Risk Register'!H14</f>
        <v>3</v>
      </c>
      <c r="F23" s="16">
        <f>'Risk Register'!I14</f>
        <v>6</v>
      </c>
      <c r="G23" s="16" t="str">
        <f>'Risk Register'!J14</f>
        <v>Medium</v>
      </c>
    </row>
    <row r="24" spans="2:7" ht="15" customHeight="1" x14ac:dyDescent="0.2">
      <c r="B24" s="16" t="str">
        <f>'Risk Register'!A15</f>
        <v>R11</v>
      </c>
      <c r="C24" s="115" t="str">
        <f>'Risk Register'!C15</f>
        <v>Receivables and working-capital stretch</v>
      </c>
      <c r="D24" s="16">
        <f>'Risk Register'!G15</f>
        <v>3</v>
      </c>
      <c r="E24" s="16">
        <f>'Risk Register'!H15</f>
        <v>2</v>
      </c>
      <c r="F24" s="16">
        <f>'Risk Register'!I15</f>
        <v>6</v>
      </c>
      <c r="G24" s="16" t="str">
        <f>'Risk Register'!J15</f>
        <v>Medium</v>
      </c>
    </row>
    <row r="25" spans="2:7" ht="15" customHeight="1" x14ac:dyDescent="0.2">
      <c r="B25" s="16" t="str">
        <f>'Risk Register'!A16</f>
        <v>R12</v>
      </c>
      <c r="C25" s="115" t="str">
        <f>'Risk Register'!C16</f>
        <v>Capital allocation discipline</v>
      </c>
      <c r="D25" s="16">
        <f>'Risk Register'!G16</f>
        <v>2</v>
      </c>
      <c r="E25" s="16">
        <f>'Risk Register'!H16</f>
        <v>3</v>
      </c>
      <c r="F25" s="16">
        <f>'Risk Register'!I16</f>
        <v>6</v>
      </c>
      <c r="G25" s="16" t="str">
        <f>'Risk Register'!J16</f>
        <v>Medium</v>
      </c>
    </row>
    <row r="26" spans="2:7" ht="15" customHeight="1" x14ac:dyDescent="0.2">
      <c r="B26" s="16" t="str">
        <f>'Risk Register'!A17</f>
        <v>R13</v>
      </c>
      <c r="C26" s="115" t="str">
        <f>'Risk Register'!C17</f>
        <v>Health labelling and consumer-health regulation</v>
      </c>
      <c r="D26" s="16">
        <f>'Risk Register'!G17</f>
        <v>3</v>
      </c>
      <c r="E26" s="16">
        <f>'Risk Register'!H17</f>
        <v>2</v>
      </c>
      <c r="F26" s="16">
        <f>'Risk Register'!I17</f>
        <v>6</v>
      </c>
      <c r="G26" s="16" t="str">
        <f>'Risk Register'!J17</f>
        <v>Medium</v>
      </c>
    </row>
    <row r="27" spans="2:7" ht="15" customHeight="1" x14ac:dyDescent="0.2">
      <c r="B27" s="16" t="str">
        <f>'Risk Register'!A18</f>
        <v>R14</v>
      </c>
      <c r="C27" s="115" t="str">
        <f>'Risk Register'!C18</f>
        <v>Packaging EPR and recycled-content cost</v>
      </c>
      <c r="D27" s="16">
        <f>'Risk Register'!G18</f>
        <v>3</v>
      </c>
      <c r="E27" s="16">
        <f>'Risk Register'!H18</f>
        <v>2</v>
      </c>
      <c r="F27" s="16">
        <f>'Risk Register'!I18</f>
        <v>6</v>
      </c>
      <c r="G27" s="16" t="str">
        <f>'Risk Register'!J18</f>
        <v>Medium</v>
      </c>
    </row>
    <row r="28" spans="2:7" ht="15" customHeight="1" x14ac:dyDescent="0.2">
      <c r="B28" s="16" t="str">
        <f>'Risk Register'!A19</f>
        <v>R15</v>
      </c>
      <c r="C28" s="115" t="str">
        <f>'Risk Register'!C19</f>
        <v>Labour cost and industrial relations</v>
      </c>
      <c r="D28" s="16">
        <f>'Risk Register'!G19</f>
        <v>3</v>
      </c>
      <c r="E28" s="16">
        <f>'Risk Register'!H19</f>
        <v>2</v>
      </c>
      <c r="F28" s="16">
        <f>'Risk Register'!I19</f>
        <v>6</v>
      </c>
      <c r="G28" s="16" t="str">
        <f>'Risk Register'!J19</f>
        <v>Medium</v>
      </c>
    </row>
    <row r="29" spans="2:7" ht="15" customHeight="1" x14ac:dyDescent="0.2">
      <c r="B29" s="16" t="str">
        <f>'Risk Register'!A20</f>
        <v>R16</v>
      </c>
      <c r="C29" s="115" t="str">
        <f>'Risk Register'!C20</f>
        <v>PepsiCo franchise concentration and renewal terms</v>
      </c>
      <c r="D29" s="16">
        <f>'Risk Register'!G20</f>
        <v>1</v>
      </c>
      <c r="E29" s="16">
        <f>'Risk Register'!H20</f>
        <v>5</v>
      </c>
      <c r="F29" s="16">
        <f>'Risk Register'!I20</f>
        <v>5</v>
      </c>
      <c r="G29" s="16" t="str">
        <f>'Risk Register'!J20</f>
        <v>Medium</v>
      </c>
    </row>
    <row r="30" spans="2:7" ht="15" customHeight="1" x14ac:dyDescent="0.2">
      <c r="B30" s="16" t="str">
        <f>'Risk Register'!A21</f>
        <v>R17</v>
      </c>
      <c r="C30" s="115" t="str">
        <f>'Risk Register'!C21</f>
        <v>Product safety and recall</v>
      </c>
      <c r="D30" s="16">
        <f>'Risk Register'!G21</f>
        <v>1</v>
      </c>
      <c r="E30" s="16">
        <f>'Risk Register'!H21</f>
        <v>4</v>
      </c>
      <c r="F30" s="16">
        <f>'Risk Register'!I21</f>
        <v>4</v>
      </c>
      <c r="G30" s="16" t="str">
        <f>'Risk Register'!J21</f>
        <v>Low</v>
      </c>
    </row>
    <row r="31" spans="2:7" ht="15" customHeight="1" x14ac:dyDescent="0.2">
      <c r="B31" s="16" t="str">
        <f>'Risk Register'!A22</f>
        <v>R18</v>
      </c>
      <c r="C31" s="115" t="str">
        <f>'Risk Register'!C22</f>
        <v>Consumer preference shift away from sugar CSDs</v>
      </c>
      <c r="D31" s="16">
        <f>'Risk Register'!G22</f>
        <v>2</v>
      </c>
      <c r="E31" s="16">
        <f>'Risk Register'!H22</f>
        <v>2</v>
      </c>
      <c r="F31" s="16">
        <f>'Risk Register'!I22</f>
        <v>4</v>
      </c>
      <c r="G31" s="16" t="str">
        <f>'Risk Register'!J22</f>
        <v>Low</v>
      </c>
    </row>
    <row r="32" spans="2:7" ht="15" customHeight="1" x14ac:dyDescent="0.2">
      <c r="B32" s="16" t="str">
        <f>'Risk Register'!A23</f>
        <v>R19</v>
      </c>
      <c r="C32" s="115" t="str">
        <f>'Risk Register'!C23</f>
        <v>Water availability and groundwater regulation</v>
      </c>
      <c r="D32" s="16">
        <f>'Risk Register'!G23</f>
        <v>2</v>
      </c>
      <c r="E32" s="16">
        <f>'Risk Register'!H23</f>
        <v>2</v>
      </c>
      <c r="F32" s="16">
        <f>'Risk Register'!I23</f>
        <v>4</v>
      </c>
      <c r="G32" s="16" t="str">
        <f>'Risk Register'!J23</f>
        <v>Low</v>
      </c>
    </row>
    <row r="33" spans="2:7" ht="15" customHeight="1" x14ac:dyDescent="0.2">
      <c r="B33" s="16" t="str">
        <f>'Risk Register'!A24</f>
        <v>R20</v>
      </c>
      <c r="C33" s="115" t="str">
        <f>'Risk Register'!C24</f>
        <v>Carbon, energy and emissions regulation</v>
      </c>
      <c r="D33" s="16">
        <f>'Risk Register'!G24</f>
        <v>2</v>
      </c>
      <c r="E33" s="16">
        <f>'Risk Register'!H24</f>
        <v>2</v>
      </c>
      <c r="F33" s="16">
        <f>'Risk Register'!I24</f>
        <v>4</v>
      </c>
      <c r="G33" s="16" t="str">
        <f>'Risk Register'!J24</f>
        <v>Low</v>
      </c>
    </row>
    <row r="34" spans="2:7" ht="15" customHeight="1" x14ac:dyDescent="0.2">
      <c r="B34" s="16" t="str">
        <f>'Risk Register'!A25</f>
        <v>R21</v>
      </c>
      <c r="C34" s="115" t="str">
        <f>'Risk Register'!C25</f>
        <v>Distribution and route-to-market execution</v>
      </c>
      <c r="D34" s="16">
        <f>'Risk Register'!G25</f>
        <v>2</v>
      </c>
      <c r="E34" s="16">
        <f>'Risk Register'!H25</f>
        <v>2</v>
      </c>
      <c r="F34" s="16">
        <f>'Risk Register'!I25</f>
        <v>4</v>
      </c>
      <c r="G34" s="16" t="str">
        <f>'Risk Register'!J25</f>
        <v>Low</v>
      </c>
    </row>
    <row r="35" spans="2:7" ht="15" customHeight="1" x14ac:dyDescent="0.2">
      <c r="B35" s="16" t="str">
        <f>'Risk Register'!A26</f>
        <v>R22</v>
      </c>
      <c r="C35" s="115" t="str">
        <f>'Risk Register'!C26</f>
        <v>Cold-chain and visi-cooler reliability</v>
      </c>
      <c r="D35" s="16">
        <f>'Risk Register'!G26</f>
        <v>2</v>
      </c>
      <c r="E35" s="16">
        <f>'Risk Register'!H26</f>
        <v>2</v>
      </c>
      <c r="F35" s="16">
        <f>'Risk Register'!I26</f>
        <v>4</v>
      </c>
      <c r="G35" s="16" t="str">
        <f>'Risk Register'!J26</f>
        <v>Low</v>
      </c>
    </row>
    <row r="36" spans="2:7" ht="15" customHeight="1" x14ac:dyDescent="0.2">
      <c r="B36" s="16" t="str">
        <f>'Risk Register'!A27</f>
        <v>R23</v>
      </c>
      <c r="C36" s="115" t="str">
        <f>'Risk Register'!C27</f>
        <v>IT and cyber security</v>
      </c>
      <c r="D36" s="16">
        <f>'Risk Register'!G27</f>
        <v>2</v>
      </c>
      <c r="E36" s="16">
        <f>'Risk Register'!H27</f>
        <v>2</v>
      </c>
      <c r="F36" s="16">
        <f>'Risk Register'!I27</f>
        <v>4</v>
      </c>
      <c r="G36" s="16" t="str">
        <f>'Risk Register'!J27</f>
        <v>Low</v>
      </c>
    </row>
    <row r="37" spans="2:7" ht="15" customHeight="1" x14ac:dyDescent="0.2">
      <c r="B37" s="16" t="str">
        <f>'Risk Register'!A28</f>
        <v>R24</v>
      </c>
      <c r="C37" s="115" t="str">
        <f>'Risk Register'!C28</f>
        <v>Funding, interest rate and liquidity</v>
      </c>
      <c r="D37" s="16">
        <f>'Risk Register'!G28</f>
        <v>1</v>
      </c>
      <c r="E37" s="16">
        <f>'Risk Register'!H28</f>
        <v>2</v>
      </c>
      <c r="F37" s="16">
        <f>'Risk Register'!I28</f>
        <v>2</v>
      </c>
      <c r="G37" s="16" t="str">
        <f>'Risk Register'!J28</f>
        <v>Low</v>
      </c>
    </row>
  </sheetData>
  <mergeCells count="3">
    <mergeCell ref="B12:G12"/>
    <mergeCell ref="B2:G2"/>
    <mergeCell ref="B3:G3"/>
  </mergeCells>
  <conditionalFormatting sqref="F14:G37">
    <cfRule type="expression" dxfId="3" priority="2">
      <formula>$G14="Low"</formula>
    </cfRule>
    <cfRule type="expression" dxfId="2" priority="3">
      <formula>$G14="Medium"</formula>
    </cfRule>
    <cfRule type="expression" dxfId="1" priority="4">
      <formula>$G14="High"</formula>
    </cfRule>
    <cfRule type="expression" dxfId="0" priority="5">
      <formula>$G14="Critical"</formula>
    </cfRule>
  </conditionalFormatting>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N31"/>
  <sheetViews>
    <sheetView showGridLines="0" zoomScale="81" zoomScaleNormal="100" workbookViewId="0">
      <selection activeCell="F24" sqref="F24"/>
    </sheetView>
  </sheetViews>
  <sheetFormatPr baseColWidth="10" defaultColWidth="8.6640625" defaultRowHeight="15" x14ac:dyDescent="0.2"/>
  <cols>
    <col min="1" max="1" width="2" customWidth="1"/>
    <col min="2" max="2" width="22" customWidth="1"/>
    <col min="3" max="14" width="13" customWidth="1"/>
  </cols>
  <sheetData>
    <row r="2" spans="2:14" ht="25.5" customHeight="1" x14ac:dyDescent="0.2">
      <c r="B2" s="116" t="s">
        <v>264</v>
      </c>
      <c r="C2" s="116"/>
      <c r="D2" s="116"/>
      <c r="E2" s="116"/>
      <c r="F2" s="116"/>
      <c r="G2" s="116"/>
      <c r="H2" s="116"/>
      <c r="I2" s="116"/>
      <c r="J2" s="116"/>
      <c r="K2" s="116"/>
      <c r="L2" s="116"/>
      <c r="M2" s="116"/>
      <c r="N2" s="116"/>
    </row>
    <row r="3" spans="2:14" ht="15" customHeight="1" x14ac:dyDescent="0.2">
      <c r="B3" s="66" t="s">
        <v>432</v>
      </c>
      <c r="C3" s="66"/>
      <c r="D3" s="66"/>
      <c r="E3" s="66"/>
      <c r="F3" s="66"/>
      <c r="G3" s="66"/>
      <c r="H3" s="66"/>
      <c r="I3" s="66"/>
      <c r="J3" s="66"/>
      <c r="K3" s="66"/>
      <c r="L3" s="66"/>
      <c r="M3" s="66"/>
      <c r="N3" s="66"/>
    </row>
    <row r="5" spans="2:14" ht="15" customHeight="1" x14ac:dyDescent="0.2">
      <c r="B5" s="117" t="s">
        <v>265</v>
      </c>
      <c r="C5" s="117"/>
      <c r="D5" s="117"/>
      <c r="E5" s="117"/>
      <c r="F5" s="117"/>
      <c r="G5" s="117"/>
      <c r="H5" s="117"/>
      <c r="I5" s="117"/>
      <c r="J5" s="117"/>
      <c r="K5" s="117"/>
      <c r="L5" s="117"/>
      <c r="M5" s="117"/>
      <c r="N5" s="117"/>
    </row>
    <row r="6" spans="2:14" ht="15" customHeight="1" x14ac:dyDescent="0.2">
      <c r="B6" s="118" t="s">
        <v>266</v>
      </c>
      <c r="C6" s="118"/>
      <c r="D6" s="118"/>
      <c r="E6" s="119" t="s">
        <v>267</v>
      </c>
      <c r="F6" s="118" t="s">
        <v>268</v>
      </c>
      <c r="G6" s="118"/>
      <c r="H6" s="118"/>
      <c r="I6" s="118"/>
      <c r="J6" s="118"/>
      <c r="K6" s="118"/>
      <c r="L6" s="118"/>
      <c r="M6" s="118"/>
      <c r="N6" s="118"/>
    </row>
    <row r="7" spans="2:14" ht="15" customHeight="1" x14ac:dyDescent="0.2">
      <c r="B7" s="120" t="s">
        <v>269</v>
      </c>
      <c r="C7" s="120"/>
      <c r="D7" s="120"/>
      <c r="E7" s="121">
        <v>1213.0999999999999</v>
      </c>
      <c r="F7" s="122" t="s">
        <v>270</v>
      </c>
      <c r="G7" s="122"/>
      <c r="H7" s="122"/>
      <c r="I7" s="122"/>
      <c r="J7" s="122"/>
      <c r="K7" s="122"/>
      <c r="L7" s="122"/>
      <c r="M7" s="122"/>
      <c r="N7" s="122"/>
    </row>
    <row r="8" spans="2:14" ht="15" customHeight="1" x14ac:dyDescent="0.2">
      <c r="B8" s="120" t="s">
        <v>271</v>
      </c>
      <c r="C8" s="120"/>
      <c r="D8" s="120"/>
      <c r="E8" s="123">
        <v>216853.79</v>
      </c>
      <c r="F8" s="122" t="s">
        <v>272</v>
      </c>
      <c r="G8" s="122"/>
      <c r="H8" s="122"/>
      <c r="I8" s="122"/>
      <c r="J8" s="122"/>
      <c r="K8" s="122"/>
      <c r="L8" s="122"/>
      <c r="M8" s="122"/>
      <c r="N8" s="122"/>
    </row>
    <row r="9" spans="2:14" ht="15" customHeight="1" x14ac:dyDescent="0.2">
      <c r="B9" s="124" t="s">
        <v>273</v>
      </c>
      <c r="C9" s="124"/>
      <c r="D9" s="124"/>
      <c r="E9" s="125">
        <f>E8/E7</f>
        <v>178.76002802736792</v>
      </c>
      <c r="F9" s="122" t="s">
        <v>274</v>
      </c>
      <c r="G9" s="122"/>
      <c r="H9" s="122"/>
      <c r="I9" s="122"/>
      <c r="J9" s="122"/>
      <c r="K9" s="122"/>
      <c r="L9" s="122"/>
      <c r="M9" s="122"/>
      <c r="N9" s="122"/>
    </row>
    <row r="10" spans="2:14" ht="15" customHeight="1" x14ac:dyDescent="0.2">
      <c r="B10" s="120" t="s">
        <v>275</v>
      </c>
      <c r="C10" s="120"/>
      <c r="D10" s="120"/>
      <c r="E10" s="123">
        <v>97154.29</v>
      </c>
      <c r="F10" s="122" t="s">
        <v>276</v>
      </c>
      <c r="G10" s="122"/>
      <c r="H10" s="122"/>
      <c r="I10" s="122"/>
      <c r="J10" s="122"/>
      <c r="K10" s="122"/>
      <c r="L10" s="122"/>
      <c r="M10" s="122"/>
      <c r="N10" s="122"/>
    </row>
    <row r="11" spans="2:14" ht="15" customHeight="1" x14ac:dyDescent="0.2">
      <c r="B11" s="124" t="s">
        <v>277</v>
      </c>
      <c r="C11" s="124"/>
      <c r="D11" s="124"/>
      <c r="E11" s="126">
        <f>(E8-E10)/E8</f>
        <v>0.55198251319471991</v>
      </c>
      <c r="F11" s="122" t="s">
        <v>278</v>
      </c>
      <c r="G11" s="122"/>
      <c r="H11" s="122"/>
      <c r="I11" s="122"/>
      <c r="J11" s="122"/>
      <c r="K11" s="122"/>
      <c r="L11" s="122"/>
      <c r="M11" s="122"/>
      <c r="N11" s="122"/>
    </row>
    <row r="12" spans="2:14" ht="15" customHeight="1" x14ac:dyDescent="0.2">
      <c r="B12" s="120" t="s">
        <v>279</v>
      </c>
      <c r="C12" s="120"/>
      <c r="D12" s="120"/>
      <c r="E12" s="123">
        <v>69205.81</v>
      </c>
      <c r="F12" s="122" t="s">
        <v>280</v>
      </c>
      <c r="G12" s="122"/>
      <c r="H12" s="122"/>
      <c r="I12" s="122"/>
      <c r="J12" s="122"/>
      <c r="K12" s="122"/>
      <c r="L12" s="122"/>
      <c r="M12" s="122"/>
      <c r="N12" s="122"/>
    </row>
    <row r="13" spans="2:14" ht="15" customHeight="1" x14ac:dyDescent="0.2">
      <c r="B13" s="124" t="s">
        <v>281</v>
      </c>
      <c r="C13" s="124"/>
      <c r="D13" s="124"/>
      <c r="E13" s="127">
        <f>E8-E10-E12</f>
        <v>50493.690000000017</v>
      </c>
      <c r="F13" s="122" t="s">
        <v>282</v>
      </c>
      <c r="G13" s="122"/>
      <c r="H13" s="122"/>
      <c r="I13" s="122"/>
      <c r="J13" s="122"/>
      <c r="K13" s="122"/>
      <c r="L13" s="122"/>
      <c r="M13" s="122"/>
      <c r="N13" s="122"/>
    </row>
    <row r="14" spans="2:14" ht="15" customHeight="1" x14ac:dyDescent="0.2">
      <c r="B14" s="124" t="s">
        <v>283</v>
      </c>
      <c r="C14" s="124"/>
      <c r="D14" s="124"/>
      <c r="E14" s="126">
        <f>E13/E8</f>
        <v>0.23284670284065598</v>
      </c>
      <c r="F14" s="122" t="s">
        <v>284</v>
      </c>
      <c r="G14" s="122"/>
      <c r="H14" s="122"/>
      <c r="I14" s="122"/>
      <c r="J14" s="122"/>
      <c r="K14" s="122"/>
      <c r="L14" s="122"/>
      <c r="M14" s="122"/>
      <c r="N14" s="122"/>
    </row>
    <row r="15" spans="2:14" ht="15" customHeight="1" x14ac:dyDescent="0.2">
      <c r="B15" s="124" t="s">
        <v>285</v>
      </c>
      <c r="C15" s="124"/>
      <c r="D15" s="124"/>
      <c r="E15" s="128">
        <v>10397.209999999999</v>
      </c>
      <c r="F15" s="122" t="s">
        <v>286</v>
      </c>
      <c r="G15" s="122"/>
      <c r="H15" s="122"/>
      <c r="I15" s="122"/>
      <c r="J15" s="122"/>
      <c r="K15" s="122"/>
      <c r="L15" s="122"/>
      <c r="M15" s="122"/>
      <c r="N15" s="122"/>
    </row>
    <row r="16" spans="2:14" ht="15" customHeight="1" x14ac:dyDescent="0.2">
      <c r="B16" s="124" t="s">
        <v>287</v>
      </c>
      <c r="C16" s="124"/>
      <c r="D16" s="124"/>
      <c r="E16" s="129">
        <v>0.236331468497983</v>
      </c>
      <c r="F16" s="122" t="s">
        <v>288</v>
      </c>
      <c r="G16" s="122"/>
      <c r="H16" s="122"/>
      <c r="I16" s="122"/>
      <c r="J16" s="122"/>
      <c r="K16" s="122"/>
      <c r="L16" s="122"/>
      <c r="M16" s="122"/>
      <c r="N16" s="122"/>
    </row>
    <row r="17" spans="2:14" ht="15" customHeight="1" x14ac:dyDescent="0.2">
      <c r="B17" s="120" t="s">
        <v>289</v>
      </c>
      <c r="C17" s="120"/>
      <c r="D17" s="120"/>
      <c r="E17" s="130">
        <f>(E13-E15)*(1-E16)</f>
        <v>30620.420000000006</v>
      </c>
      <c r="F17" s="122" t="s">
        <v>290</v>
      </c>
      <c r="G17" s="122"/>
      <c r="H17" s="122"/>
      <c r="I17" s="122"/>
      <c r="J17" s="122"/>
      <c r="K17" s="122"/>
      <c r="L17" s="122"/>
      <c r="M17" s="122"/>
      <c r="N17" s="122"/>
    </row>
    <row r="19" spans="2:14" ht="15" customHeight="1" x14ac:dyDescent="0.2">
      <c r="B19" s="143" t="s">
        <v>291</v>
      </c>
      <c r="C19" s="143"/>
      <c r="D19" s="143"/>
      <c r="E19" s="143"/>
      <c r="F19" s="143"/>
      <c r="G19" s="143"/>
      <c r="H19" s="143"/>
      <c r="I19" s="143"/>
      <c r="J19" s="143"/>
      <c r="K19" s="143"/>
      <c r="L19" s="143"/>
      <c r="M19" s="143"/>
      <c r="N19" s="143"/>
    </row>
    <row r="20" spans="2:14" ht="36" customHeight="1" x14ac:dyDescent="0.2">
      <c r="B20" s="144" t="s">
        <v>24</v>
      </c>
      <c r="C20" s="144" t="s">
        <v>292</v>
      </c>
      <c r="D20" s="144" t="s">
        <v>293</v>
      </c>
      <c r="E20" s="144" t="s">
        <v>26</v>
      </c>
      <c r="F20" s="144" t="s">
        <v>294</v>
      </c>
      <c r="G20" s="144" t="s">
        <v>27</v>
      </c>
      <c r="H20" s="144" t="s">
        <v>295</v>
      </c>
      <c r="I20" s="144" t="s">
        <v>296</v>
      </c>
      <c r="J20" s="144" t="s">
        <v>28</v>
      </c>
      <c r="K20" s="144" t="s">
        <v>297</v>
      </c>
      <c r="L20" s="144" t="s">
        <v>298</v>
      </c>
      <c r="M20" s="144" t="s">
        <v>30</v>
      </c>
      <c r="N20" s="144" t="s">
        <v>299</v>
      </c>
    </row>
    <row r="21" spans="2:14" ht="21.75" customHeight="1" x14ac:dyDescent="0.2">
      <c r="B21" s="25" t="s">
        <v>32</v>
      </c>
      <c r="C21" s="131" t="s">
        <v>300</v>
      </c>
      <c r="D21" s="132" t="s">
        <v>300</v>
      </c>
      <c r="E21" s="133">
        <f>$E$7</f>
        <v>1213.0999999999999</v>
      </c>
      <c r="F21" s="132" t="s">
        <v>300</v>
      </c>
      <c r="G21" s="134">
        <f>$E$8</f>
        <v>216853.79</v>
      </c>
      <c r="H21" s="132">
        <f>$E$11</f>
        <v>0.55198251319471991</v>
      </c>
      <c r="I21" s="132" t="s">
        <v>300</v>
      </c>
      <c r="J21" s="134">
        <f>$E$13</f>
        <v>50493.690000000017</v>
      </c>
      <c r="K21" s="132">
        <f>$E$14</f>
        <v>0.23284670284065598</v>
      </c>
      <c r="L21" s="134">
        <f>$E$15</f>
        <v>10397.209999999999</v>
      </c>
      <c r="M21" s="134">
        <f>$E$17</f>
        <v>30620.420000000006</v>
      </c>
      <c r="N21" s="135" t="s">
        <v>300</v>
      </c>
    </row>
    <row r="22" spans="2:14" ht="21.75" customHeight="1" x14ac:dyDescent="0.2">
      <c r="B22" s="21" t="s">
        <v>33</v>
      </c>
      <c r="C22" s="136">
        <v>0.6</v>
      </c>
      <c r="D22" s="137">
        <v>0.08</v>
      </c>
      <c r="E22" s="133">
        <f>$E$7*(1+D22)</f>
        <v>1310.1479999999999</v>
      </c>
      <c r="F22" s="137">
        <v>0.01</v>
      </c>
      <c r="G22" s="134">
        <f>E22*($E$9*(1+F22))</f>
        <v>236544.11413200005</v>
      </c>
      <c r="H22" s="137">
        <v>0.55200000000000005</v>
      </c>
      <c r="I22" s="137">
        <v>0.09</v>
      </c>
      <c r="J22" s="134">
        <f>G22*H22-$E$12*(1+I22)</f>
        <v>55138.018100864021</v>
      </c>
      <c r="K22" s="132">
        <f>J22/G22</f>
        <v>0.23309824597916243</v>
      </c>
      <c r="L22" s="138">
        <v>11950</v>
      </c>
      <c r="M22" s="134">
        <f>(J22-L22)*(1-$E$16)</f>
        <v>32981.330361569351</v>
      </c>
      <c r="N22" s="139">
        <f>M22/$E$17-1</f>
        <v>7.7102481336616124E-2</v>
      </c>
    </row>
    <row r="23" spans="2:14" ht="21.75" customHeight="1" x14ac:dyDescent="0.2">
      <c r="B23" s="19" t="s">
        <v>34</v>
      </c>
      <c r="C23" s="136">
        <v>0.3</v>
      </c>
      <c r="D23" s="137">
        <v>0.02</v>
      </c>
      <c r="E23" s="133">
        <f>$E$7*(1+D23)</f>
        <v>1237.3619999999999</v>
      </c>
      <c r="F23" s="137">
        <v>0</v>
      </c>
      <c r="G23" s="134">
        <f>E23*($E$9*(1+F23))</f>
        <v>221190.8658</v>
      </c>
      <c r="H23" s="137">
        <v>0.53500000000000003</v>
      </c>
      <c r="I23" s="137">
        <v>0.09</v>
      </c>
      <c r="J23" s="134">
        <f>G23*H23-$E$12*(1+I23)</f>
        <v>42902.780302999992</v>
      </c>
      <c r="K23" s="132">
        <f>J23/G23</f>
        <v>0.19396271246477481</v>
      </c>
      <c r="L23" s="138">
        <v>12350</v>
      </c>
      <c r="M23" s="134">
        <f>(J23-L23)*(1-$E$16)</f>
        <v>23332.196867295752</v>
      </c>
      <c r="N23" s="140">
        <f>M23/$E$17-1</f>
        <v>-0.23801839206334374</v>
      </c>
    </row>
    <row r="24" spans="2:14" ht="21.75" customHeight="1" x14ac:dyDescent="0.2">
      <c r="B24" s="20" t="s">
        <v>35</v>
      </c>
      <c r="C24" s="136">
        <v>0.1</v>
      </c>
      <c r="D24" s="137">
        <v>-0.03</v>
      </c>
      <c r="E24" s="133">
        <f>$E$7*(1+D24)</f>
        <v>1176.7069999999999</v>
      </c>
      <c r="F24" s="137">
        <v>-1.4999999999999999E-2</v>
      </c>
      <c r="G24" s="134">
        <f>E24*($E$9*(1+F24))</f>
        <v>207192.95365550002</v>
      </c>
      <c r="H24" s="137">
        <v>0.52</v>
      </c>
      <c r="I24" s="137">
        <v>0.08</v>
      </c>
      <c r="J24" s="134">
        <f>G24*H24-$E$12*(1+I24)</f>
        <v>32998.06110086001</v>
      </c>
      <c r="K24" s="132">
        <f>J24/G24</f>
        <v>0.15926246775614739</v>
      </c>
      <c r="L24" s="138">
        <v>12850</v>
      </c>
      <c r="M24" s="134">
        <f>(J24-L24)*(1-$E$16)</f>
        <v>15386.440233506675</v>
      </c>
      <c r="N24" s="141">
        <f>M24/$E$17-1</f>
        <v>-0.49751047720747554</v>
      </c>
    </row>
    <row r="25" spans="2:14" ht="15" customHeight="1" x14ac:dyDescent="0.2">
      <c r="B25" s="142" t="s">
        <v>433</v>
      </c>
      <c r="C25" s="142"/>
      <c r="D25" s="142"/>
      <c r="E25" s="142"/>
      <c r="F25" s="142"/>
      <c r="G25" s="142"/>
      <c r="H25" s="142"/>
      <c r="I25" s="142"/>
      <c r="J25" s="142"/>
      <c r="K25" s="142"/>
      <c r="L25" s="142"/>
      <c r="M25" s="142"/>
      <c r="N25" s="142"/>
    </row>
    <row r="26" spans="2:14" ht="15" customHeight="1" x14ac:dyDescent="0.2">
      <c r="B26" s="142"/>
      <c r="C26" s="142"/>
      <c r="D26" s="142"/>
      <c r="E26" s="142"/>
      <c r="F26" s="142"/>
      <c r="G26" s="142"/>
      <c r="H26" s="142"/>
      <c r="I26" s="142"/>
      <c r="J26" s="142"/>
      <c r="K26" s="142"/>
      <c r="L26" s="142"/>
      <c r="M26" s="142"/>
      <c r="N26" s="142"/>
    </row>
    <row r="27" spans="2:14" ht="15" customHeight="1" x14ac:dyDescent="0.2">
      <c r="B27" s="142"/>
      <c r="C27" s="142"/>
      <c r="D27" s="142"/>
      <c r="E27" s="142"/>
      <c r="F27" s="142"/>
      <c r="G27" s="142"/>
      <c r="H27" s="142"/>
      <c r="I27" s="142"/>
      <c r="J27" s="142"/>
      <c r="K27" s="142"/>
      <c r="L27" s="142"/>
      <c r="M27" s="142"/>
      <c r="N27" s="142"/>
    </row>
    <row r="28" spans="2:14" x14ac:dyDescent="0.2">
      <c r="B28" s="142"/>
      <c r="C28" s="142"/>
      <c r="D28" s="142"/>
      <c r="E28" s="142"/>
      <c r="F28" s="142"/>
      <c r="G28" s="142"/>
      <c r="H28" s="142"/>
      <c r="I28" s="142"/>
      <c r="J28" s="142"/>
      <c r="K28" s="142"/>
      <c r="L28" s="142"/>
      <c r="M28" s="142"/>
      <c r="N28" s="142"/>
    </row>
    <row r="29" spans="2:14" x14ac:dyDescent="0.2">
      <c r="B29" s="142"/>
      <c r="C29" s="142"/>
      <c r="D29" s="142"/>
      <c r="E29" s="142"/>
      <c r="F29" s="142"/>
      <c r="G29" s="142"/>
      <c r="H29" s="142"/>
      <c r="I29" s="142"/>
      <c r="J29" s="142"/>
      <c r="K29" s="142"/>
      <c r="L29" s="142"/>
      <c r="M29" s="142"/>
      <c r="N29" s="142"/>
    </row>
    <row r="30" spans="2:14" x14ac:dyDescent="0.2">
      <c r="B30" s="142"/>
      <c r="C30" s="142"/>
      <c r="D30" s="142"/>
      <c r="E30" s="142"/>
      <c r="F30" s="142"/>
      <c r="G30" s="142"/>
      <c r="H30" s="142"/>
      <c r="I30" s="142"/>
      <c r="J30" s="142"/>
      <c r="K30" s="142"/>
      <c r="L30" s="142"/>
      <c r="M30" s="142"/>
      <c r="N30" s="142"/>
    </row>
    <row r="31" spans="2:14" x14ac:dyDescent="0.2">
      <c r="B31" s="142"/>
      <c r="C31" s="142"/>
      <c r="D31" s="142"/>
      <c r="E31" s="142"/>
      <c r="F31" s="142"/>
      <c r="G31" s="142"/>
      <c r="H31" s="142"/>
      <c r="I31" s="142"/>
      <c r="J31" s="142"/>
      <c r="K31" s="142"/>
      <c r="L31" s="142"/>
      <c r="M31" s="142"/>
      <c r="N31" s="142"/>
    </row>
  </sheetData>
  <mergeCells count="29">
    <mergeCell ref="B2:N2"/>
    <mergeCell ref="B3:N3"/>
    <mergeCell ref="B5:N5"/>
    <mergeCell ref="B6:D6"/>
    <mergeCell ref="F6:N6"/>
    <mergeCell ref="B7:D7"/>
    <mergeCell ref="F7:N7"/>
    <mergeCell ref="B8:D8"/>
    <mergeCell ref="F8:N8"/>
    <mergeCell ref="B9:D9"/>
    <mergeCell ref="F9:N9"/>
    <mergeCell ref="B10:D10"/>
    <mergeCell ref="F10:N10"/>
    <mergeCell ref="B11:D11"/>
    <mergeCell ref="F11:N11"/>
    <mergeCell ref="B12:D12"/>
    <mergeCell ref="F12:N12"/>
    <mergeCell ref="B13:D13"/>
    <mergeCell ref="F13:N13"/>
    <mergeCell ref="B14:D14"/>
    <mergeCell ref="F14:N14"/>
    <mergeCell ref="B15:D15"/>
    <mergeCell ref="F15:N15"/>
    <mergeCell ref="B16:D16"/>
    <mergeCell ref="F16:N16"/>
    <mergeCell ref="B17:D17"/>
    <mergeCell ref="F17:N17"/>
    <mergeCell ref="B19:N19"/>
    <mergeCell ref="B25:N31"/>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F36"/>
  <sheetViews>
    <sheetView showGridLines="0" zoomScale="69" zoomScaleNormal="100" workbookViewId="0">
      <pane xSplit="1" ySplit="5" topLeftCell="B6" activePane="bottomRight" state="frozen"/>
      <selection pane="topRight" activeCell="B1" sqref="B1"/>
      <selection pane="bottomLeft" activeCell="A6" sqref="A6"/>
      <selection pane="bottomRight" activeCell="J14" sqref="J14"/>
    </sheetView>
  </sheetViews>
  <sheetFormatPr baseColWidth="10" defaultColWidth="8.6640625" defaultRowHeight="15" x14ac:dyDescent="0.2"/>
  <cols>
    <col min="1" max="1" width="2" customWidth="1"/>
    <col min="2" max="2" width="42" customWidth="1"/>
    <col min="3" max="3" width="26" customWidth="1"/>
    <col min="4" max="4" width="50" customWidth="1"/>
    <col min="5" max="5" width="8" customWidth="1"/>
    <col min="6" max="6" width="52" customWidth="1"/>
  </cols>
  <sheetData>
    <row r="1" spans="2:6" x14ac:dyDescent="0.2">
      <c r="B1" s="145"/>
      <c r="C1" s="145"/>
      <c r="D1" s="145"/>
      <c r="E1" s="145"/>
      <c r="F1" s="145"/>
    </row>
    <row r="2" spans="2:6" ht="25.5" customHeight="1" x14ac:dyDescent="0.2">
      <c r="B2" s="146" t="s">
        <v>301</v>
      </c>
      <c r="C2" s="146"/>
      <c r="D2" s="146"/>
      <c r="E2" s="146"/>
      <c r="F2" s="146"/>
    </row>
    <row r="3" spans="2:6" ht="15" customHeight="1" x14ac:dyDescent="0.2">
      <c r="B3" s="66" t="s">
        <v>302</v>
      </c>
      <c r="C3" s="66"/>
      <c r="D3" s="66"/>
      <c r="E3" s="66"/>
      <c r="F3" s="66"/>
    </row>
    <row r="4" spans="2:6" x14ac:dyDescent="0.2">
      <c r="B4" s="145"/>
      <c r="C4" s="145"/>
      <c r="D4" s="145"/>
      <c r="E4" s="145"/>
      <c r="F4" s="145"/>
    </row>
    <row r="5" spans="2:6" ht="15" customHeight="1" x14ac:dyDescent="0.2">
      <c r="B5" s="147" t="s">
        <v>303</v>
      </c>
      <c r="C5" s="147" t="s">
        <v>304</v>
      </c>
      <c r="D5" s="147" t="s">
        <v>268</v>
      </c>
      <c r="E5" s="147" t="s">
        <v>305</v>
      </c>
      <c r="F5" s="147" t="s">
        <v>306</v>
      </c>
    </row>
    <row r="6" spans="2:6" ht="30" customHeight="1" x14ac:dyDescent="0.2">
      <c r="B6" s="148" t="s">
        <v>307</v>
      </c>
      <c r="C6" s="148" t="s">
        <v>308</v>
      </c>
      <c r="D6" s="148" t="s">
        <v>309</v>
      </c>
      <c r="E6" s="149" t="s">
        <v>310</v>
      </c>
      <c r="F6" s="150" t="s">
        <v>311</v>
      </c>
    </row>
    <row r="7" spans="2:6" ht="30" customHeight="1" x14ac:dyDescent="0.2">
      <c r="B7" s="148" t="s">
        <v>312</v>
      </c>
      <c r="C7" s="148" t="s">
        <v>313</v>
      </c>
      <c r="D7" s="148" t="s">
        <v>309</v>
      </c>
      <c r="E7" s="149" t="s">
        <v>310</v>
      </c>
      <c r="F7" s="150" t="s">
        <v>314</v>
      </c>
    </row>
    <row r="8" spans="2:6" ht="30" customHeight="1" x14ac:dyDescent="0.2">
      <c r="B8" s="148" t="s">
        <v>315</v>
      </c>
      <c r="C8" s="148" t="s">
        <v>316</v>
      </c>
      <c r="D8" s="148" t="s">
        <v>309</v>
      </c>
      <c r="E8" s="149" t="s">
        <v>310</v>
      </c>
      <c r="F8" s="150" t="s">
        <v>317</v>
      </c>
    </row>
    <row r="9" spans="2:6" ht="30" customHeight="1" x14ac:dyDescent="0.2">
      <c r="B9" s="148" t="s">
        <v>318</v>
      </c>
      <c r="C9" s="148" t="s">
        <v>319</v>
      </c>
      <c r="D9" s="148" t="s">
        <v>309</v>
      </c>
      <c r="E9" s="149" t="s">
        <v>310</v>
      </c>
      <c r="F9" s="150" t="s">
        <v>320</v>
      </c>
    </row>
    <row r="10" spans="2:6" ht="30" customHeight="1" x14ac:dyDescent="0.2">
      <c r="B10" s="148" t="s">
        <v>321</v>
      </c>
      <c r="C10" s="148" t="s">
        <v>322</v>
      </c>
      <c r="D10" s="148" t="s">
        <v>309</v>
      </c>
      <c r="E10" s="149" t="s">
        <v>310</v>
      </c>
      <c r="F10" s="150" t="s">
        <v>323</v>
      </c>
    </row>
    <row r="11" spans="2:6" ht="30" customHeight="1" x14ac:dyDescent="0.2">
      <c r="B11" s="148" t="s">
        <v>324</v>
      </c>
      <c r="C11" s="148" t="s">
        <v>325</v>
      </c>
      <c r="D11" s="148" t="s">
        <v>309</v>
      </c>
      <c r="E11" s="149" t="s">
        <v>310</v>
      </c>
      <c r="F11" s="150" t="s">
        <v>326</v>
      </c>
    </row>
    <row r="12" spans="2:6" ht="30" customHeight="1" x14ac:dyDescent="0.2">
      <c r="B12" s="148" t="s">
        <v>327</v>
      </c>
      <c r="C12" s="148" t="s">
        <v>328</v>
      </c>
      <c r="D12" s="148" t="s">
        <v>329</v>
      </c>
      <c r="E12" s="149" t="s">
        <v>310</v>
      </c>
      <c r="F12" s="150" t="s">
        <v>330</v>
      </c>
    </row>
    <row r="13" spans="2:6" ht="30" customHeight="1" x14ac:dyDescent="0.2">
      <c r="B13" s="148" t="s">
        <v>331</v>
      </c>
      <c r="C13" s="148" t="s">
        <v>332</v>
      </c>
      <c r="D13" s="148" t="s">
        <v>329</v>
      </c>
      <c r="E13" s="149" t="s">
        <v>310</v>
      </c>
      <c r="F13" s="150" t="s">
        <v>333</v>
      </c>
    </row>
    <row r="14" spans="2:6" ht="30" customHeight="1" x14ac:dyDescent="0.2">
      <c r="B14" s="148" t="s">
        <v>334</v>
      </c>
      <c r="C14" s="148" t="s">
        <v>335</v>
      </c>
      <c r="D14" s="148" t="s">
        <v>309</v>
      </c>
      <c r="E14" s="149" t="s">
        <v>310</v>
      </c>
      <c r="F14" s="150" t="s">
        <v>336</v>
      </c>
    </row>
    <row r="15" spans="2:6" ht="30" customHeight="1" x14ac:dyDescent="0.2">
      <c r="B15" s="148" t="s">
        <v>337</v>
      </c>
      <c r="C15" s="148" t="s">
        <v>338</v>
      </c>
      <c r="D15" s="148" t="s">
        <v>339</v>
      </c>
      <c r="E15" s="149" t="s">
        <v>310</v>
      </c>
      <c r="F15" s="150" t="s">
        <v>340</v>
      </c>
    </row>
    <row r="16" spans="2:6" ht="30" customHeight="1" x14ac:dyDescent="0.2">
      <c r="B16" s="148" t="s">
        <v>341</v>
      </c>
      <c r="C16" s="148" t="s">
        <v>342</v>
      </c>
      <c r="D16" s="148" t="s">
        <v>309</v>
      </c>
      <c r="E16" s="149" t="s">
        <v>310</v>
      </c>
      <c r="F16" s="150" t="s">
        <v>343</v>
      </c>
    </row>
    <row r="17" spans="2:6" ht="30" customHeight="1" x14ac:dyDescent="0.2">
      <c r="B17" s="148" t="s">
        <v>344</v>
      </c>
      <c r="C17" s="148" t="s">
        <v>345</v>
      </c>
      <c r="D17" s="148" t="s">
        <v>309</v>
      </c>
      <c r="E17" s="149" t="s">
        <v>310</v>
      </c>
      <c r="F17" s="150" t="s">
        <v>346</v>
      </c>
    </row>
    <row r="18" spans="2:6" ht="30" customHeight="1" x14ac:dyDescent="0.2">
      <c r="B18" s="148" t="s">
        <v>347</v>
      </c>
      <c r="C18" s="148" t="s">
        <v>348</v>
      </c>
      <c r="D18" s="148" t="s">
        <v>349</v>
      </c>
      <c r="E18" s="149" t="s">
        <v>310</v>
      </c>
      <c r="F18" s="150" t="s">
        <v>350</v>
      </c>
    </row>
    <row r="19" spans="2:6" ht="30" customHeight="1" x14ac:dyDescent="0.2">
      <c r="B19" s="148" t="s">
        <v>351</v>
      </c>
      <c r="C19" s="148" t="s">
        <v>352</v>
      </c>
      <c r="D19" s="148" t="s">
        <v>309</v>
      </c>
      <c r="E19" s="149" t="s">
        <v>310</v>
      </c>
      <c r="F19" s="150" t="s">
        <v>353</v>
      </c>
    </row>
    <row r="20" spans="2:6" ht="30" customHeight="1" x14ac:dyDescent="0.2">
      <c r="B20" s="148" t="s">
        <v>354</v>
      </c>
      <c r="C20" s="148" t="s">
        <v>355</v>
      </c>
      <c r="D20" s="148" t="s">
        <v>309</v>
      </c>
      <c r="E20" s="149" t="s">
        <v>310</v>
      </c>
      <c r="F20" s="150" t="s">
        <v>356</v>
      </c>
    </row>
    <row r="21" spans="2:6" ht="30" customHeight="1" x14ac:dyDescent="0.2">
      <c r="B21" s="148" t="s">
        <v>357</v>
      </c>
      <c r="C21" s="148" t="s">
        <v>358</v>
      </c>
      <c r="D21" s="148" t="s">
        <v>309</v>
      </c>
      <c r="E21" s="149" t="s">
        <v>310</v>
      </c>
      <c r="F21" s="150" t="s">
        <v>359</v>
      </c>
    </row>
    <row r="22" spans="2:6" ht="30" customHeight="1" x14ac:dyDescent="0.2">
      <c r="B22" s="148" t="s">
        <v>360</v>
      </c>
      <c r="C22" s="148" t="s">
        <v>361</v>
      </c>
      <c r="D22" s="148" t="s">
        <v>309</v>
      </c>
      <c r="E22" s="149" t="s">
        <v>310</v>
      </c>
      <c r="F22" s="150" t="s">
        <v>362</v>
      </c>
    </row>
    <row r="23" spans="2:6" ht="30" customHeight="1" x14ac:dyDescent="0.2">
      <c r="B23" s="148" t="s">
        <v>65</v>
      </c>
      <c r="C23" s="148" t="s">
        <v>363</v>
      </c>
      <c r="D23" s="148" t="s">
        <v>364</v>
      </c>
      <c r="E23" s="149" t="s">
        <v>310</v>
      </c>
      <c r="F23" s="150" t="s">
        <v>365</v>
      </c>
    </row>
    <row r="24" spans="2:6" ht="30" customHeight="1" x14ac:dyDescent="0.2">
      <c r="B24" s="148" t="s">
        <v>366</v>
      </c>
      <c r="C24" s="148" t="s">
        <v>367</v>
      </c>
      <c r="D24" s="148" t="s">
        <v>368</v>
      </c>
      <c r="E24" s="149" t="s">
        <v>310</v>
      </c>
      <c r="F24" s="150" t="s">
        <v>369</v>
      </c>
    </row>
    <row r="25" spans="2:6" ht="30" customHeight="1" x14ac:dyDescent="0.2">
      <c r="B25" s="148" t="s">
        <v>370</v>
      </c>
      <c r="C25" s="148" t="s">
        <v>371</v>
      </c>
      <c r="D25" s="148" t="s">
        <v>372</v>
      </c>
      <c r="E25" s="149" t="s">
        <v>310</v>
      </c>
      <c r="F25" s="150" t="s">
        <v>373</v>
      </c>
    </row>
    <row r="26" spans="2:6" ht="30" customHeight="1" x14ac:dyDescent="0.2">
      <c r="B26" s="148" t="s">
        <v>374</v>
      </c>
      <c r="C26" s="148" t="s">
        <v>375</v>
      </c>
      <c r="D26" s="148" t="s">
        <v>376</v>
      </c>
      <c r="E26" s="149" t="s">
        <v>310</v>
      </c>
      <c r="F26" s="150" t="s">
        <v>377</v>
      </c>
    </row>
    <row r="27" spans="2:6" ht="30" customHeight="1" x14ac:dyDescent="0.2">
      <c r="B27" s="148" t="s">
        <v>378</v>
      </c>
      <c r="C27" s="148" t="s">
        <v>379</v>
      </c>
      <c r="D27" s="148" t="s">
        <v>380</v>
      </c>
      <c r="E27" s="151" t="s">
        <v>381</v>
      </c>
      <c r="F27" s="150" t="s">
        <v>382</v>
      </c>
    </row>
    <row r="28" spans="2:6" ht="30" customHeight="1" x14ac:dyDescent="0.2">
      <c r="B28" s="148" t="s">
        <v>383</v>
      </c>
      <c r="C28" s="148" t="s">
        <v>384</v>
      </c>
      <c r="D28" s="148" t="s">
        <v>380</v>
      </c>
      <c r="E28" s="151" t="s">
        <v>381</v>
      </c>
      <c r="F28" s="150" t="s">
        <v>385</v>
      </c>
    </row>
    <row r="29" spans="2:6" ht="30" customHeight="1" x14ac:dyDescent="0.2">
      <c r="B29" s="148" t="s">
        <v>386</v>
      </c>
      <c r="C29" s="148" t="s">
        <v>387</v>
      </c>
      <c r="D29" s="148" t="s">
        <v>388</v>
      </c>
      <c r="E29" s="151" t="s">
        <v>381</v>
      </c>
      <c r="F29" s="150" t="s">
        <v>389</v>
      </c>
    </row>
    <row r="30" spans="2:6" ht="30" customHeight="1" x14ac:dyDescent="0.2">
      <c r="B30" s="148" t="s">
        <v>390</v>
      </c>
      <c r="C30" s="148" t="s">
        <v>391</v>
      </c>
      <c r="D30" s="148" t="s">
        <v>392</v>
      </c>
      <c r="E30" s="151" t="s">
        <v>381</v>
      </c>
      <c r="F30" s="150" t="s">
        <v>393</v>
      </c>
    </row>
    <row r="31" spans="2:6" ht="30" customHeight="1" x14ac:dyDescent="0.2">
      <c r="B31" s="148" t="s">
        <v>394</v>
      </c>
      <c r="C31" s="148" t="s">
        <v>395</v>
      </c>
      <c r="D31" s="148" t="s">
        <v>396</v>
      </c>
      <c r="E31" s="151" t="s">
        <v>397</v>
      </c>
      <c r="F31" s="150" t="s">
        <v>398</v>
      </c>
    </row>
    <row r="32" spans="2:6" ht="30" customHeight="1" x14ac:dyDescent="0.2">
      <c r="B32" s="148" t="s">
        <v>399</v>
      </c>
      <c r="C32" s="148" t="s">
        <v>400</v>
      </c>
      <c r="D32" s="148" t="s">
        <v>401</v>
      </c>
      <c r="E32" s="149" t="s">
        <v>310</v>
      </c>
      <c r="F32" s="150" t="s">
        <v>402</v>
      </c>
    </row>
    <row r="33" spans="2:6" ht="30" customHeight="1" x14ac:dyDescent="0.2">
      <c r="B33" s="148" t="s">
        <v>403</v>
      </c>
      <c r="C33" s="148" t="s">
        <v>404</v>
      </c>
      <c r="D33" s="148" t="s">
        <v>405</v>
      </c>
      <c r="E33" s="152" t="s">
        <v>406</v>
      </c>
      <c r="F33" s="150" t="s">
        <v>407</v>
      </c>
    </row>
    <row r="34" spans="2:6" ht="30" customHeight="1" x14ac:dyDescent="0.2">
      <c r="B34" s="148" t="s">
        <v>408</v>
      </c>
      <c r="C34" s="148" t="s">
        <v>409</v>
      </c>
      <c r="D34" s="148" t="s">
        <v>410</v>
      </c>
      <c r="E34" s="152" t="s">
        <v>406</v>
      </c>
      <c r="F34" s="150" t="s">
        <v>411</v>
      </c>
    </row>
    <row r="35" spans="2:6" ht="30" customHeight="1" x14ac:dyDescent="0.2">
      <c r="B35" s="148" t="s">
        <v>412</v>
      </c>
      <c r="C35" s="148" t="s">
        <v>413</v>
      </c>
      <c r="D35" s="148" t="s">
        <v>414</v>
      </c>
      <c r="E35" s="152" t="s">
        <v>415</v>
      </c>
      <c r="F35" s="150" t="s">
        <v>416</v>
      </c>
    </row>
    <row r="36" spans="2:6" ht="39" x14ac:dyDescent="0.2">
      <c r="B36" s="148" t="s">
        <v>417</v>
      </c>
      <c r="C36" s="148" t="s">
        <v>418</v>
      </c>
      <c r="D36" s="148" t="s">
        <v>419</v>
      </c>
      <c r="E36" s="152" t="s">
        <v>406</v>
      </c>
      <c r="F36" s="150" t="s">
        <v>420</v>
      </c>
    </row>
  </sheetData>
  <mergeCells count="2">
    <mergeCell ref="B2:F2"/>
    <mergeCell ref="B3:F3"/>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Risk Register</vt:lpstr>
      <vt:lpstr>Probability-Impact Matrix</vt:lpstr>
      <vt:lpstr>Scenario Analysis</vt:lpstr>
      <vt:lpstr>Sources &amp; Assumptions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Dhriyaman Adak</cp:lastModifiedBy>
  <cp:revision>3</cp:revision>
  <dcterms:created xsi:type="dcterms:W3CDTF">2026-09-12T20:30:47Z</dcterms:created>
  <dcterms:modified xsi:type="dcterms:W3CDTF">2026-09-13T19:34:14Z</dcterms:modified>
  <dc:language>en-US</dc:language>
</cp:coreProperties>
</file>